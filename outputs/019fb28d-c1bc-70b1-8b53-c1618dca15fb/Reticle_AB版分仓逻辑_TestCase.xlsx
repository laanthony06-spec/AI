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41de3be8c47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概览" sheetId="1" r:id="Rc4f6c0908b2842af"/>
    <x:sheet xmlns:r="http://schemas.openxmlformats.org/officeDocument/2006/relationships" name="TestCase" sheetId="2" r:id="R889ffa816c45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2"/>
      <x:color rgb="FF1F4E78"/>
      <x:name val="Carlito"/>
    </x:font>
    <x:font>
      <x:b/>
      <x:sz val="11"/>
      <x:color rgb="FF44546A"/>
      <x:name val="Carlito"/>
    </x:font>
    <x:font>
      <x:b/>
      <x:sz val="18"/>
      <x:color rgb="FF1F4E78"/>
      <x:name val="Carlito"/>
    </x:font>
    <x:font>
      <x:b/>
      <x:sz val="18"/>
      <x:color rgb="FF595959"/>
      <x:name val="Carlito"/>
    </x:font>
    <x:font>
      <x:b/>
      <x:sz val="18"/>
      <x:color rgb="FF006100"/>
      <x:name val="Carlito"/>
    </x:font>
    <x:font>
      <x:b/>
      <x:sz val="18"/>
      <x:color rgb="FF9C0006"/>
      <x:name val="Carlito"/>
    </x:font>
    <x:font>
      <x:b/>
      <x:sz val="11"/>
      <x:color rgb="FFFFFFFF"/>
      <x:name val="Carlito"/>
    </x:font>
    <x:font>
      <x:b/>
      <x:sz val="12"/>
      <x:color rgb="FF7F6000"/>
      <x:name val="Carlito"/>
    </x:font>
    <x:font>
      <x:i/>
      <x:sz val="9"/>
      <x:color rgb="FF666666"/>
      <x:name val="Carlito"/>
    </x:font>
    <x:font>
      <x:b/>
      <x:sz val="18"/>
      <x:color rgb="FF1F1F1F"/>
      <x:name val="Carlito"/>
    </x:font>
    <x:font>
      <x:sz val="10"/>
      <x:color rgb="FF595959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2F75B5"/>
      </x:patternFill>
    </x:fill>
    <x:fill>
      <x:patternFill patternType="solid">
        <x:fgColor rgb="FFF2F6FA"/>
      </x:patternFill>
    </x:fill>
    <x:fill>
      <x:patternFill patternType="solid">
        <x:fgColor rgb="FFFFF2CC"/>
      </x:patternFill>
    </x:fill>
    <x:fill>
      <x:patternFill patternType="solid">
        <x:fgColor rgb="FFFFFBEB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E6D9A2"/>
      </x:left>
      <x:right style="thin">
        <x:color rgb="FFE6D9A2"/>
      </x:right>
      <x:top style="thin">
        <x:color rgb="FFE6D9A2"/>
      </x:top>
      <x:bottom style="thin">
        <x:color rgb="FFE6D9A2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9" fillId="7" borderId="5" xfId="0" applyNumberFormat="1" applyFont="1" applyFill="1" applyBorder="1" applyAlignment="1">
      <x:alignment vertical="center"/>
    </x:xf>
    <x:xf numFmtId="0" fontId="9" fillId="7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7" xfId="0" applyNumberFormat="1" applyFont="1" applyFill="1" applyBorder="1"/>
    <x:xf numFmtId="0" fontId="10" fillId="9" borderId="8" xfId="0" applyNumberFormat="1" applyFont="1" applyFill="1" applyBorder="1"/>
    <x:xf numFmtId="0" fontId="0" fillId="10" borderId="0" xfId="0" applyNumberFormat="1" applyFont="1" applyFill="1" applyBorder="1"/>
    <x:xf numFmtId="0" fontId="0" fillId="10" borderId="9" xfId="0" applyNumberFormat="1" applyFont="1" applyFill="1" applyBorder="1"/>
    <x:xf numFmtId="0" fontId="0" fillId="10" borderId="9" xfId="0" applyNumberFormat="1" applyFont="1" applyFill="1" applyBorder="1" applyAlignment="1">
      <x:alignment wrapText="1"/>
    </x:xf>
    <x:xf numFmtId="0" fontId="0" fillId="10" borderId="9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left"/>
    </x:xf>
    <x:xf numFmtId="0" fontId="12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14" fillId="2" borderId="1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wrapText="1"/>
    </x:xf>
    <x:xf numFmtId="0" fontId="14" fillId="2" borderId="1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/>
    <x:xf numFmtId="0" fontId="15" fillId="0" borderId="5" xfId="0" applyNumberFormat="1" applyFont="1" applyFill="1" applyBorder="1"/>
    <x:xf numFmtId="0" fontId="15" fillId="0" borderId="5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vertical="center" wrapText="1"/>
    </x:xf>
    <x:xf numFmtId="0" fontId="15" fillId="0" borderId="5" xfId="0" applyNumberFormat="1" applyFont="1" applyFill="1" applyBorder="1" applyAlignment="1">
      <x:alignment horizontal="left" vertical="center" wrapText="1"/>
    </x:xf>
    <x:xf numFmtId="0" fontId="15" fillId="0" borderId="5" xfId="0" applyNumberFormat="1" applyFont="1" applyFill="1" applyBorder="1" applyAlignment="1">
      <x:alignment horizontal="center" vertical="center" wrapText="1"/>
    </x:xf>
    <x:xf numFmtId="200" fontId="15" fillId="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7cd7de374448d" /><Relationship Type="http://schemas.openxmlformats.org/officeDocument/2006/relationships/theme" Target="/xl/theme/theme1.xml" Id="Rf5501c081ca448b5" /><Relationship Type="http://schemas.openxmlformats.org/officeDocument/2006/relationships/sharedStrings" Target="/xl/sharedStrings.xml" Id="Rc5218372df5b4344" /><Relationship Type="http://schemas.openxmlformats.org/officeDocument/2006/relationships/worksheet" Target="/xl/worksheets/sheet1.xml" Id="Rc4f6c0908b2842af" /><Relationship Type="http://schemas.openxmlformats.org/officeDocument/2006/relationships/worksheet" Target="/xl/worksheets/sheet2.xml" Id="R889ffa816c45499f" /></Relationships>
</file>

<file path=xl/tables/table1.xml><?xml version="1.0" encoding="utf-8"?>
<x:table xmlns:x="http://schemas.openxmlformats.org/spreadsheetml/2006/main" id="1" name="ReticleABTestCases" displayName="ReticleABTestCases" ref="A4:M52" headerRowCount="1" totalsRowCount="0" totalsRowShown="0">
  <x:autoFilter ref="A4:M52"/>
  <x:tableColumns count="13">
    <x:tableColumn id="1" name="No"/>
    <x:tableColumn id="2" name="所属（Local/Central）"/>
    <x:tableColumn id="3" name="Area（功能模块 Report/Balance）"/>
    <x:tableColumn id="4" name="涉及 Macro / 共通模块"/>
    <x:tableColumn id="5" name="逻辑变动内容"/>
    <x:tableColumn id="6" name="类别（正向/反向/边界/联动/回归）"/>
    <x:tableColumn id="7" name="测试内容"/>
    <x:tableColumn id="8" name="测试情景"/>
    <x:tableColumn id="9" name="预期结果"/>
    <x:tableColumn id="10" name="测试结果"/>
    <x:tableColumn id="11" name="测试日期"/>
    <x:tableColumn id="12" name="测试 owner"/>
    <x:tableColumn id="13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b7c6cdbbff44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1" hidden="0" customWidth="1"/>
    <x:col min="4" max="4" width="29" hidden="0" customWidth="1"/>
    <x:col min="5" max="5" width="20" hidden="0" customWidth="1"/>
    <x:col min="6" max="6" width="29" hidden="0" customWidth="1"/>
    <x:col min="7" max="7" width="18" hidden="0" customWidth="1"/>
    <x:col min="8" max="8" width="32" hidden="0" customWidth="1"/>
  </x:cols>
  <x:sheetData>
    <x:row r="1" ht="36" customHeight="1">
      <x:c r="A1" s="4" t="str">
        <x:v>Reticle Mask A/B 分仓逻辑 — 测试概览</x:v>
      </x:c>
      <x:c r="B1" s="4"/>
      <x:c r="C1" s="4"/>
      <x:c r="D1" s="4"/>
      <x:c r="E1" s="4"/>
      <x:c r="F1" s="4"/>
      <x:c r="G1" s="4"/>
      <x:c r="H1" s="4"/>
    </x:row>
    <x:row r="3" ht="36" customHeight="1">
      <x:c r="A3" s="9" t="str">
        <x:v>系统名称</x:v>
      </x:c>
      <x:c r="B3" s="7" t="str">
        <x:v>CIM 计算机集成制造系统 Fab6（二科）</x:v>
      </x:c>
      <x:c r="C3" s="9" t="str">
        <x:v>功能模块</x:v>
      </x:c>
      <x:c r="D3" s="7" t="str">
        <x:v>智能派工系统（RTD/DSP）</x:v>
      </x:c>
      <x:c r="E3" s="9" t="str">
        <x:v>申请部门</x:v>
      </x:c>
      <x:c r="F3" s="7" t="str">
        <x:v>制造部</x:v>
      </x:c>
      <x:c r="G3" s="9" t="str">
        <x:v>需求日期</x:v>
      </x:c>
      <x:c r="H3" s="10" t="n">
        <x:v>46196</x:v>
      </x:c>
    </x:row>
    <x:row r="4" ht="36" customHeight="1">
      <x:c r="A4" s="9" t="str">
        <x:v>测试范围</x:v>
      </x:c>
      <x:c r="B4" s="7" t="str">
        <x:v>ReticleStockerBalance、ReticleWhereNext、CentralReticleWhereNext</x:v>
      </x:c>
      <x:c r="C4" s="9" t="str">
        <x:v>核心目标</x:v>
      </x:c>
      <x:c r="D4" s="7" t="str">
        <x:v>避免 Mask A/B 版放在同一 Stocker</x:v>
      </x:c>
      <x:c r="E4" s="9" t="str">
        <x:v>用例版本</x:v>
      </x:c>
      <x:c r="F4" s="7" t="str">
        <x:v>V1.0</x:v>
      </x:c>
      <x:c r="G4" s="9" t="str">
        <x:v>编制日期</x:v>
      </x:c>
      <x:c r="H4" s="10" t="n">
        <x:v>46233</x:v>
      </x:c>
    </x:row>
    <x:row r="6">
      <x:c r="A6" s="16" t="str">
        <x:v>执行状态</x:v>
      </x:c>
      <x:c r="B6" s="17"/>
      <x:c r="C6" s="17"/>
      <x:c r="D6" s="17"/>
      <x:c r="E6" s="17"/>
      <x:c r="F6" s="17"/>
      <x:c r="G6" s="17"/>
      <x:c r="H6" s="18"/>
    </x:row>
    <x:row r="7" ht="24" customHeight="1">
      <x:c r="A7" s="21" t="str">
        <x:v>总用例数</x:v>
      </x:c>
      <x:c r="B7" s="21"/>
      <x:c r="C7" s="21" t="str">
        <x:v>待执行</x:v>
      </x:c>
      <x:c r="D7" s="21"/>
      <x:c r="E7" s="21" t="str">
        <x:v>Pass</x:v>
      </x:c>
      <x:c r="F7" s="21"/>
      <x:c r="G7" s="21" t="str">
        <x:v>Fail / Blocked</x:v>
      </x:c>
      <x:c r="H7" s="21"/>
    </x:row>
    <x:row r="8" ht="34" customHeight="1">
      <x:c r="A8" s="23" t="n">
        <x:f>COUNTA('TestCase'!$A$5:$A$52)</x:f>
        <x:v>48</x:v>
      </x:c>
      <x:c r="B8" s="23"/>
      <x:c r="C8" s="25" t="n">
        <x:f>COUNTIF('TestCase'!$J$5:$J$52,"Not Run")</x:f>
        <x:v>48</x:v>
      </x:c>
      <x:c r="D8" s="25"/>
      <x:c r="E8" s="27" t="n">
        <x:f>COUNTIF('TestCase'!$J$5:$J$52,"Pass")</x:f>
        <x:v>0</x:v>
      </x:c>
      <x:c r="F8" s="27"/>
      <x:c r="G8" s="29" t="n">
        <x:f>COUNTIF('TestCase'!$J$5:$J$52,"Fail")+COUNTIF('TestCase'!$J$5:$J$52,"Blocked")</x:f>
        <x:v>0</x:v>
      </x:c>
      <x:c r="H8" s="29"/>
    </x:row>
    <x:row r="10" ht="30" customHeight="1">
      <x:c r="A10" s="35" t="str">
        <x:v>需求编号</x:v>
      </x:c>
      <x:c r="B10" s="35" t="str">
        <x:v>需求点</x:v>
      </x:c>
      <x:c r="C10" s="35" t="str">
        <x:v>覆盖说明</x:v>
      </x:c>
      <x:c r="D10" s="35" t="str">
        <x:v>用例数</x:v>
      </x:c>
      <x:c r="E10" s="35" t="str">
        <x:v>状态</x:v>
      </x:c>
      <x:c r="G10" s="40" t="str">
        <x:v>用例类别</x:v>
      </x:c>
      <x:c r="H10" s="40" t="str">
        <x:v>用例数</x:v>
      </x:c>
    </x:row>
    <x:row r="11" ht="30" customHeight="1">
      <x:c r="A11" s="32" t="str">
        <x:v>R1</x:v>
      </x:c>
      <x:c r="B11" s="32" t="str">
        <x:v>Mask AB 版判定</x:v>
      </x:c>
      <x:c r="C11" s="32" t="str">
        <x:v>14码、非14码、混合数据</x:v>
      </x:c>
      <x:c r="D11" s="36" t="n">
        <x:f>COUNTA('TestCase'!$A$5:$A$10)</x:f>
        <x:v>6</x:v>
      </x:c>
      <x:c r="E11" s="36" t="str">
        <x:f>IF(D11&gt;0,"已覆盖","缺失")</x:f>
        <x:v>已覆盖</x:v>
      </x:c>
      <x:c r="G11" s="37" t="str">
        <x:v>正向</x:v>
      </x:c>
      <x:c r="H11" s="41" t="n">
        <x:f>COUNTIF('TestCase'!$F$5:$F$52,G11)</x:f>
        <x:v>12</x:v>
      </x:c>
    </x:row>
    <x:row r="12" ht="30" customHeight="1">
      <x:c r="A12" s="32" t="str">
        <x:v>R2</x:v>
      </x:c>
      <x:c r="B12" s="32" t="str">
        <x:v>Target Stocker 取得</x:v>
      </x:c>
      <x:c r="C12" s="32" t="str">
        <x:v>设备属性白名单与当前仓排除</x:v>
      </x:c>
      <x:c r="D12" s="36" t="n">
        <x:f>COUNTA('TestCase'!$A$11:$A$20)</x:f>
        <x:v>10</x:v>
      </x:c>
      <x:c r="E12" s="36" t="str">
        <x:f>IF(D12&gt;0,"已覆盖","缺失")</x:f>
        <x:v>已覆盖</x:v>
      </x:c>
      <x:c r="G12" s="37" t="str">
        <x:v>反向</x:v>
      </x:c>
      <x:c r="H12" s="41" t="n">
        <x:f>COUNTIF('TestCase'!$F$5:$F$52,G12)</x:f>
        <x:v>12</x:v>
      </x:c>
    </x:row>
    <x:row r="13" ht="30" customHeight="1">
      <x:c r="A13" s="32" t="str">
        <x:v>R3</x:v>
      </x:c>
      <x:c r="B13" s="32" t="str">
        <x:v>Target Reticle 汇总</x:v>
      </x:c>
      <x:c r="C13" s="32" t="str">
        <x:v>既有库存、预约搬入、空集与去重</x:v>
      </x:c>
      <x:c r="D13" s="36" t="n">
        <x:f>COUNTA('TestCase'!$A$21:$A$26)</x:f>
        <x:v>6</x:v>
      </x:c>
      <x:c r="E13" s="36" t="str">
        <x:f>IF(D13&gt;0,"已覆盖","缺失")</x:f>
        <x:v>已覆盖</x:v>
      </x:c>
      <x:c r="G13" s="37" t="str">
        <x:v>边界</x:v>
      </x:c>
      <x:c r="H13" s="41" t="n">
        <x:f>COUNTIF('TestCase'!$F$5:$F$52,G13)</x:f>
        <x:v>7</x:v>
      </x:c>
    </x:row>
    <x:row r="14" ht="30" customHeight="1">
      <x:c r="A14" s="32" t="str">
        <x:v>R4</x:v>
      </x:c>
      <x:c r="B14" s="32" t="str">
        <x:v>ExistMaskA&amp;B Flag</x:v>
      </x:c>
      <x:c r="C14" s="32" t="str">
        <x:v>T/F、SpecialReticle、混合内容</x:v>
      </x:c>
      <x:c r="D14" s="36" t="n">
        <x:f>COUNTA('TestCase'!$A$27:$A$32)</x:f>
        <x:v>6</x:v>
      </x:c>
      <x:c r="E14" s="36" t="str">
        <x:f>IF(D14&gt;0,"已覆盖","缺失")</x:f>
        <x:v>已覆盖</x:v>
      </x:c>
      <x:c r="G14" s="37" t="str">
        <x:v>数据处理</x:v>
      </x:c>
      <x:c r="H14" s="41" t="n">
        <x:f>COUNTIF('TestCase'!$F$5:$F$52,G14)</x:f>
        <x:v>6</x:v>
      </x:c>
    </x:row>
    <x:row r="15" ht="30" customHeight="1">
      <x:c r="A15" s="32" t="str">
        <x:v>R5</x:v>
      </x:c>
      <x:c r="B15" s="32" t="str">
        <x:v>Target 排序</x:v>
      </x:c>
      <x:c r="C15" s="32" t="str">
        <x:v>F 优先、组内原排序、全 T 边界</x:v>
      </x:c>
      <x:c r="D15" s="36" t="n">
        <x:f>COUNTA('TestCase'!$A$33:$A$36)</x:f>
        <x:v>4</x:v>
      </x:c>
      <x:c r="E15" s="36" t="str">
        <x:f>IF(D15&gt;0,"已覆盖","缺失")</x:f>
        <x:v>已覆盖</x:v>
      </x:c>
      <x:c r="G15" s="37" t="str">
        <x:v>联动</x:v>
      </x:c>
      <x:c r="H15" s="41" t="n">
        <x:f>COUNTIF('TestCase'!$F$5:$F$52,G15)</x:f>
        <x:v>6</x:v>
      </x:c>
    </x:row>
    <x:row r="16" ht="30" customHeight="1">
      <x:c r="A16" s="32" t="str">
        <x:v>R6</x:v>
      </x:c>
      <x:c r="B16" s="32" t="str">
        <x:v>ReticleStockerBalance</x:v>
      </x:c>
      <x:c r="C16" s="32" t="str">
        <x:v>水位触发、主动 Balance、端到端</x:v>
      </x:c>
      <x:c r="D16" s="36" t="n">
        <x:f>COUNTA('TestCase'!$A$37:$A$45)</x:f>
        <x:v>9</x:v>
      </x:c>
      <x:c r="E16" s="36" t="str">
        <x:f>IF(D16&gt;0,"已覆盖","缺失")</x:f>
        <x:v>已覆盖</x:v>
      </x:c>
      <x:c r="G16" s="37" t="str">
        <x:v>回归</x:v>
      </x:c>
      <x:c r="H16" s="41" t="n">
        <x:f>COUNTIF('TestCase'!$F$5:$F$52,G16)</x:f>
        <x:v>5</x:v>
      </x:c>
    </x:row>
    <x:row r="17" ht="30" customHeight="1">
      <x:c r="A17" s="32" t="str">
        <x:v>R7</x:v>
      </x:c>
      <x:c r="B17" s="32" t="str">
        <x:v>ReticleWhereNext</x:v>
      </x:c>
      <x:c r="C17" s="32" t="str">
        <x:v>既有/预约冲突与回归</x:v>
      </x:c>
      <x:c r="D17" s="36" t="n">
        <x:f>COUNTA('TestCase'!$A$46:$A$48)</x:f>
        <x:v>3</x:v>
      </x:c>
      <x:c r="E17" s="36" t="str">
        <x:f>IF(D17&gt;0,"已覆盖","缺失")</x:f>
        <x:v>已覆盖</x:v>
      </x:c>
    </x:row>
    <x:row r="18" ht="30" customHeight="1">
      <x:c r="A18" s="32" t="str">
        <x:v>R8</x:v>
      </x:c>
      <x:c r="B18" s="32" t="str">
        <x:v>Central 与三功能一致性</x:v>
      </x:c>
      <x:c r="C18" s="32" t="str">
        <x:v>Central 选仓、联动、非 AB 回归</x:v>
      </x:c>
      <x:c r="D18" s="36" t="n">
        <x:f>COUNTA('TestCase'!$A$49:$A$52)</x:f>
        <x:v>4</x:v>
      </x:c>
      <x:c r="E18" s="36" t="str">
        <x:f>IF(D18&gt;0,"已覆盖","缺失")</x:f>
        <x:v>已覆盖</x:v>
      </x:c>
    </x:row>
    <x:row r="20">
      <x:c r="A20" s="13" t="str">
        <x:v>测试数据建议</x:v>
      </x:c>
      <x:c r="B20" s="14"/>
      <x:c r="C20" s="14"/>
      <x:c r="D20" s="14"/>
      <x:c r="E20" s="14"/>
      <x:c r="F20" s="14"/>
      <x:c r="G20" s="14"/>
      <x:c r="H20" s="15"/>
    </x:row>
    <x:row r="21" ht="34" customHeight="1">
      <x:c r="A21" s="43" t="str">
        <x:v>标准 Prefix（13码）</x:v>
      </x:c>
      <x:c r="B21" s="32" t="str">
        <x:v>RETICLE000001</x:v>
      </x:c>
      <x:c r="C21" s="43" t="str">
        <x:v>A版（14码）</x:v>
      </x:c>
      <x:c r="D21" s="32" t="str">
        <x:v>RETICLE000001A</x:v>
      </x:c>
      <x:c r="E21" s="43" t="str">
        <x:v>B版（14码）</x:v>
      </x:c>
      <x:c r="F21" s="32" t="str">
        <x:v>RETICLE000001B</x:v>
      </x:c>
      <x:c r="G21" s="43" t="str">
        <x:v>不同 Group</x:v>
      </x:c>
      <x:c r="H21" s="32" t="str">
        <x:v>RETICLE000002A</x:v>
      </x:c>
    </x:row>
    <x:row r="22" ht="34" customHeight="1">
      <x:c r="A22" s="43" t="str">
        <x:v>SpecialReticle（13码）</x:v>
      </x:c>
      <x:c r="B22" s="32" t="str">
        <x:v>RETICLE000001</x:v>
      </x:c>
      <x:c r="C22" s="43" t="str">
        <x:v>SpecialReticle（15码）</x:v>
      </x:c>
      <x:c r="D22" s="32" t="str">
        <x:v>RETICLE000001AB</x:v>
      </x:c>
      <x:c r="E22" s="43" t="str">
        <x:v>当前 Stocker</x:v>
      </x:c>
      <x:c r="F22" s="32" t="str">
        <x:v>STK_RSP_01</x:v>
      </x:c>
      <x:c r="G22" s="43" t="str">
        <x:v>候选 Stocker</x:v>
      </x:c>
      <x:c r="H22" s="32" t="str">
        <x:v>STK_RSP_02 / STK_BRS_01</x:v>
      </x:c>
    </x:row>
    <x:row r="23" ht="34" customHeight="1">
      <x:c r="A23" s="43" t="str">
        <x:v>合法 TYPE 1</x:v>
      </x:c>
      <x:c r="B23" s="32" t="str">
        <x:v>RTLSTK_BARE</x:v>
      </x:c>
      <x:c r="C23" s="43" t="str">
        <x:v>合法 TYPE 2</x:v>
      </x:c>
      <x:c r="D23" s="32" t="str">
        <x:v>RTLSTK_XCDA</x:v>
      </x:c>
      <x:c r="E23" s="43" t="str">
        <x:v>合法 TYPE 3</x:v>
      </x:c>
      <x:c r="F23" s="32" t="str">
        <x:v>RTLSTK_NOXCDA</x:v>
      </x:c>
      <x:c r="G23" s="43" t="str">
        <x:v>constructtype</x:v>
      </x:c>
      <x:c r="H23" s="32" t="str">
        <x:v>Normal</x:v>
      </x:c>
    </x:row>
    <x:row r="24" ht="34" customHeight="1">
      <x:c r="A24" s="43" t="str">
        <x:v>状态字段</x:v>
      </x:c>
      <x:c r="B24" s="32" t="str">
        <x:v>测试前锁定一致快照</x:v>
      </x:c>
      <x:c r="C24" s="43" t="str">
        <x:v>预约字段</x:v>
      </x:c>
      <x:c r="D24" s="32" t="str">
        <x:v>requesteddeviceid / reservedreticleid</x:v>
      </x:c>
      <x:c r="E24" s="43" t="str">
        <x:v>Flag</x:v>
      </x:c>
      <x:c r="F24" s="32" t="str">
        <x:v>ExistMaskA&amp;B=T/F</x:v>
      </x:c>
      <x:c r="G24" s="43" t="str">
        <x:v>结果状态</x:v>
      </x:c>
      <x:c r="H24" s="32" t="str">
        <x:v>Not Run / Pass / Fail / Blocked</x:v>
      </x:c>
    </x:row>
    <x:row r="26">
      <x:c r="A26" s="46" t="str">
        <x:v>需求解读与待确认项</x:v>
      </x:c>
      <x:c r="B26" s="47"/>
      <x:c r="C26" s="47"/>
      <x:c r="D26" s="47"/>
      <x:c r="E26" s="47"/>
      <x:c r="F26" s="47"/>
      <x:c r="G26" s="47"/>
      <x:c r="H26" s="48"/>
    </x:row>
    <x:row r="27" ht="38" customHeight="1">
      <x:c r="A27" s="52" t="str">
        <x:v>1. 需求单 2.4 写“统计 Target Stocker 所有 Reticle（2.1和2.2的 Reticle）”，与分项编号存在歧义；本 Test Case 按“Target 内既有 Reticle（2.2）+ 正搬入 Reticle（2.3）”合并判定。</x:v>
      </x:c>
      <x:c r="B27" s="52"/>
      <x:c r="C27" s="52"/>
      <x:c r="D27" s="52"/>
      <x:c r="E27" s="52"/>
      <x:c r="F27" s="52"/>
      <x:c r="G27" s="52"/>
      <x:c r="H27" s="52"/>
    </x:row>
    <x:row r="28" ht="38" customHeight="1">
      <x:c r="A28" s="52" t="str">
        <x:v>2. 需求明确 ExistMaskA&amp;B=F 放在排序第一位，但未明确所有候选均为 T 时的处理。本 Test Case 暂按“不中断并沿用原排序”验证，执行前请业务/开发确认。</x:v>
      </x:c>
      <x:c r="B28" s="52"/>
      <x:c r="C28" s="52"/>
      <x:c r="D28" s="52"/>
      <x:c r="E28" s="52"/>
      <x:c r="F28" s="52"/>
      <x:c r="G28" s="52"/>
      <x:c r="H28" s="52"/>
    </x:row>
    <x:row r="29" ht="38" customHeight="1">
      <x:c r="A29" s="52" t="str">
        <x:v>3. 需求未给出性能阈值与批量规模，因此当前覆盖功能、边界、数据处理、联动和回归；若需性能验收，应另行补充 Stocker/Reticle 数量与响应时间指标。</x:v>
      </x:c>
      <x:c r="B29" s="52"/>
      <x:c r="C29" s="52"/>
      <x:c r="D29" s="52"/>
      <x:c r="E29" s="52"/>
      <x:c r="F29" s="52"/>
      <x:c r="G29" s="52"/>
      <x:c r="H29" s="52"/>
    </x:row>
    <x:row r="30" ht="38" customHeight="1">
      <x:c r="A30" s="52" t="str">
        <x:v>4. 测试前需准备可控的既有库存与搬入预约数据，并记录改造前原排序结果，便于核对新增指标只改变 AB 冲突场景。</x:v>
      </x:c>
      <x:c r="B30" s="52"/>
      <x:c r="C30" s="52"/>
      <x:c r="D30" s="52"/>
      <x:c r="E30" s="52"/>
      <x:c r="F30" s="52"/>
      <x:c r="G30" s="52"/>
      <x:c r="H30" s="52"/>
    </x:row>
    <x:row r="32" ht="30" customHeight="1">
      <x:c r="A32" s="55" t="str">
        <x:v>来源：需求申请单图片 d5815a88eaff0f8c87c24be4c8b66a7d.jpg、d144bb67c4170cb1860c9659645454bc.jpg；项目现有 TestCase 样式作为版式参考。</x:v>
      </x:c>
      <x:c r="B32" s="55"/>
      <x:c r="C32" s="55"/>
      <x:c r="D32" s="55"/>
      <x:c r="E32" s="55"/>
      <x:c r="F32" s="55"/>
      <x:c r="G32" s="55"/>
      <x:c r="H32" s="55"/>
    </x:row>
  </x:sheetData>
  <x:mergeCells>
    <x:mergeCell ref="A1:H1"/>
    <x:mergeCell ref="A6:H6"/>
    <x:mergeCell ref="A7:B7"/>
    <x:mergeCell ref="C7:D7"/>
    <x:mergeCell ref="E7:F7"/>
    <x:mergeCell ref="G7:H7"/>
    <x:mergeCell ref="A8:B8"/>
    <x:mergeCell ref="C8:D8"/>
    <x:mergeCell ref="E8:F8"/>
    <x:mergeCell ref="G8:H8"/>
    <x:mergeCell ref="A20:H20"/>
    <x:mergeCell ref="A26:H26"/>
    <x:mergeCell ref="A27:H27"/>
    <x:mergeCell ref="A28:H28"/>
    <x:mergeCell ref="A29:H29"/>
    <x:mergeCell ref="A30:H30"/>
    <x:mergeCell ref="A32:H32"/>
  </x:mergeCells>
  <x:conditionalFormatting sqref="E11:E18">
    <x:cfRule type="containsText" dxfId="0" priority="1" operator="containsText" text="已覆盖"/>
    <x:cfRule type="containsText" dxfId="1" priority="2" operator="containsText" text="缺失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8" hidden="0" customWidth="1"/>
    <x:col min="6" max="6" width="18" hidden="0" customWidth="1"/>
    <x:col min="7" max="7" width="28" hidden="0" customWidth="1"/>
    <x:col min="8" max="8" width="58" hidden="0" customWidth="1"/>
    <x:col min="9" max="9" width="58" hidden="0" customWidth="1"/>
    <x:col min="10" max="10" width="14" hidden="0" customWidth="1"/>
    <x:col min="11" max="11" width="14" hidden="0" customWidth="1"/>
    <x:col min="12" max="12" width="15" hidden="0" customWidth="1"/>
    <x:col min="13" max="13" width="30" hidden="0" customWidth="1"/>
  </x:cols>
  <x:sheetData>
    <x:row r="1" ht="34" customHeight="1">
      <x:c r="A1" s="58" t="str">
        <x:v>Reticle Mask A/B 分仓逻辑 TestCase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</x:row>
    <x:row r="2" ht="24" customHeight="1">
      <x:c r="A2" s="60" t="str">
        <x:v>来源：2026-06-23 需求申请单；范围：ReticleStockerBalance、ReticleWhereNext、CentralReticleWhereNext 的 Mask A/B 不同仓逻辑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</x:row>
    <x:row r="4" ht="42" customHeight="1">
      <x:c r="A4" s="65" t="str">
        <x:v>No</x:v>
      </x:c>
      <x:c r="B4" s="65" t="str">
        <x:v>所属（Local/Central）</x:v>
      </x:c>
      <x:c r="C4" s="65" t="str">
        <x:v>Area（功能模块 Report/Balance）</x:v>
      </x:c>
      <x:c r="D4" s="65" t="str">
        <x:v>涉及 Macro / 共通模块</x:v>
      </x:c>
      <x:c r="E4" s="65" t="str">
        <x:v>逻辑变动内容</x:v>
      </x:c>
      <x:c r="F4" s="65" t="str">
        <x:v>类别（正向/反向/边界/联动/回归）</x:v>
      </x:c>
      <x:c r="G4" s="65" t="str">
        <x:v>测试内容</x:v>
      </x:c>
      <x:c r="H4" s="65" t="str">
        <x:v>测试情景</x:v>
      </x:c>
      <x:c r="I4" s="65" t="str">
        <x:v>预期结果</x:v>
      </x:c>
      <x:c r="J4" s="65" t="str">
        <x:v>测试结果</x:v>
      </x:c>
      <x:c r="K4" s="65" t="str">
        <x:v>测试日期</x:v>
      </x:c>
      <x:c r="L4" s="65" t="str">
        <x:v>测试 owner</x:v>
      </x:c>
      <x:c r="M4" s="65" t="str">
        <x:v>备注</x:v>
      </x:c>
    </x:row>
    <x:row r="5" ht="58" customHeight="1">
      <x:c r="A5" s="70" t="str">
        <x:v>TC-RAB-001</x:v>
      </x:c>
      <x:c r="B5" s="70" t="str">
        <x:v>Central</x:v>
      </x:c>
      <x:c r="C5" s="70" t="str">
        <x:v>RTD/DSP · 共通逻辑</x:v>
      </x:c>
      <x:c r="D5" s="70" t="str">
        <x:v>AB Group 判定</x:v>
      </x:c>
      <x:c r="E5" s="70" t="str">
        <x:v>R1｜14码 ReticleID 的 AB 版识别</x:v>
      </x:c>
      <x:c r="F5" s="70" t="str">
        <x:v>正向</x:v>
      </x:c>
      <x:c r="G5" s="69" t="str">
        <x:v>验证标准 A/B 版被识别为同一 AB Group</x:v>
      </x:c>
      <x:c r="H5" s="69" t="str">
        <x:v>准备 RETICLE000001A 与 RETICLE000001B：两者长度均为14，前13码 RETICLE000001 相同，第14码不同。</x:v>
      </x:c>
      <x:c r="I5" s="69" t="str">
        <x:v>两块 Reticle 被识别为同一 AB Group，并参与后续冲突判断。</x:v>
      </x:c>
      <x:c r="J5" s="71" t="str">
        <x:v>Not Run</x:v>
      </x:c>
      <x:c r="K5" s="72"/>
      <x:c r="L5" s="71" t="str"/>
      <x:c r="M5" s="69" t="str">
        <x:v>需求：Mask AB版判定</x:v>
      </x:c>
    </x:row>
    <x:row r="6" ht="58" customHeight="1">
      <x:c r="A6" s="70" t="str">
        <x:v>TC-RAB-002</x:v>
      </x:c>
      <x:c r="B6" s="70" t="str">
        <x:v>Central</x:v>
      </x:c>
      <x:c r="C6" s="70" t="str">
        <x:v>RTD/DSP · 共通逻辑</x:v>
      </x:c>
      <x:c r="D6" s="70" t="str">
        <x:v>AB Group 判定</x:v>
      </x:c>
      <x:c r="E6" s="70" t="str">
        <x:v>R1｜14码 ReticleID 的 AB 版识别</x:v>
      </x:c>
      <x:c r="F6" s="70" t="str">
        <x:v>反向</x:v>
      </x:c>
      <x:c r="G6" s="69" t="str">
        <x:v>验证完全相同的 ReticleID 不构成 A/B 对版</x:v>
      </x:c>
      <x:c r="H6" s="69" t="str">
        <x:v>比较 RETICLE000001A 与 RETICLE000001A。</x:v>
      </x:c>
      <x:c r="I6" s="69" t="str">
        <x:v>第14码未发生差异，不作为两块 A/B 对版；不得仅因前13码相同即判定冲突。</x:v>
      </x:c>
      <x:c r="J6" s="71" t="str">
        <x:v>Not Run</x:v>
      </x:c>
      <x:c r="K6" s="72"/>
      <x:c r="L6" s="71" t="str"/>
      <x:c r="M6" s="69" t="str"/>
    </x:row>
    <x:row r="7" ht="58" customHeight="1">
      <x:c r="A7" s="70" t="str">
        <x:v>TC-RAB-003</x:v>
      </x:c>
      <x:c r="B7" s="70" t="str">
        <x:v>Central</x:v>
      </x:c>
      <x:c r="C7" s="70" t="str">
        <x:v>RTD/DSP · 共通逻辑</x:v>
      </x:c>
      <x:c r="D7" s="70" t="str">
        <x:v>AB Group 判定</x:v>
      </x:c>
      <x:c r="E7" s="70" t="str">
        <x:v>R1｜14码 ReticleID 的 AB 版识别</x:v>
      </x:c>
      <x:c r="F7" s="70" t="str">
        <x:v>反向</x:v>
      </x:c>
      <x:c r="G7" s="69" t="str">
        <x:v>验证不同前13码不属于同一 AB Group</x:v>
      </x:c>
      <x:c r="H7" s="69" t="str">
        <x:v>比较 RETICLE000001A 与 RETICLE000002B。</x:v>
      </x:c>
      <x:c r="I7" s="69" t="str">
        <x:v>前13码不同，两块 Reticle 不属于同一 AB Group。</x:v>
      </x:c>
      <x:c r="J7" s="71" t="str">
        <x:v>Not Run</x:v>
      </x:c>
      <x:c r="K7" s="72"/>
      <x:c r="L7" s="71" t="str"/>
      <x:c r="M7" s="69" t="str"/>
    </x:row>
    <x:row r="8" ht="58" customHeight="1">
      <x:c r="A8" s="70" t="str">
        <x:v>TC-RAB-004</x:v>
      </x:c>
      <x:c r="B8" s="70" t="str">
        <x:v>Central</x:v>
      </x:c>
      <x:c r="C8" s="70" t="str">
        <x:v>RTD/DSP · 共通逻辑</x:v>
      </x:c>
      <x:c r="D8" s="70" t="str">
        <x:v>AB Group 判定</x:v>
      </x:c>
      <x:c r="E8" s="70" t="str">
        <x:v>R1｜非14码 SpecialReticle 排除</x:v>
      </x:c>
      <x:c r="F8" s="70" t="str">
        <x:v>边界</x:v>
      </x:c>
      <x:c r="G8" s="69" t="str">
        <x:v>验证13码 ReticleID 不参与 AB 判定</x:v>
      </x:c>
      <x:c r="H8" s="69" t="str">
        <x:v>准备 RETICLE000001（13码），并与 RETICLE000001A 同时进入判定。</x:v>
      </x:c>
      <x:c r="I8" s="69" t="str">
        <x:v>13码对象被视为 SpecialReticle，不参与 AB Group/冲突标记。</x:v>
      </x:c>
      <x:c r="J8" s="71" t="str">
        <x:v>Not Run</x:v>
      </x:c>
      <x:c r="K8" s="72"/>
      <x:c r="L8" s="71" t="str"/>
      <x:c r="M8" s="69" t="str"/>
    </x:row>
    <x:row r="9" ht="58" customHeight="1">
      <x:c r="A9" s="70" t="str">
        <x:v>TC-RAB-005</x:v>
      </x:c>
      <x:c r="B9" s="70" t="str">
        <x:v>Central</x:v>
      </x:c>
      <x:c r="C9" s="70" t="str">
        <x:v>RTD/DSP · 共通逻辑</x:v>
      </x:c>
      <x:c r="D9" s="70" t="str">
        <x:v>AB Group 判定</x:v>
      </x:c>
      <x:c r="E9" s="70" t="str">
        <x:v>R1｜非14码 SpecialReticle 排除</x:v>
      </x:c>
      <x:c r="F9" s="70" t="str">
        <x:v>边界</x:v>
      </x:c>
      <x:c r="G9" s="69" t="str">
        <x:v>验证15码 ReticleID 不参与 AB 判定</x:v>
      </x:c>
      <x:c r="H9" s="69" t="str">
        <x:v>准备 RETICLE000001AB（15码），并与标准14码 Reticle 同时进入判定。</x:v>
      </x:c>
      <x:c r="I9" s="69" t="str">
        <x:v>15码对象被视为 SpecialReticle，不参与 AB Group/冲突标记。</x:v>
      </x:c>
      <x:c r="J9" s="71" t="str">
        <x:v>Not Run</x:v>
      </x:c>
      <x:c r="K9" s="72"/>
      <x:c r="L9" s="71" t="str"/>
      <x:c r="M9" s="69" t="str"/>
    </x:row>
    <x:row r="10" ht="58" customHeight="1">
      <x:c r="A10" s="70" t="str">
        <x:v>TC-RAB-006</x:v>
      </x:c>
      <x:c r="B10" s="70" t="str">
        <x:v>Central</x:v>
      </x:c>
      <x:c r="C10" s="70" t="str">
        <x:v>RTD/DSP · 共通逻辑</x:v>
      </x:c>
      <x:c r="D10" s="70" t="str">
        <x:v>AB Group 判定</x:v>
      </x:c>
      <x:c r="E10" s="70" t="str">
        <x:v>R1｜混合 ReticleID 数据处理</x:v>
      </x:c>
      <x:c r="F10" s="70" t="str">
        <x:v>数据处理</x:v>
      </x:c>
      <x:c r="G10" s="69" t="str">
        <x:v>验证普通 Reticle 与 SpecialReticle 混合时判定准确</x:v>
      </x:c>
      <x:c r="H10" s="69" t="str">
        <x:v>输入 RETICLE000001A、RETICLE000001B、RETICLE000001、RETICLE000001AB。</x:v>
      </x:c>
      <x:c r="I10" s="69" t="str">
        <x:v>仅两条14码且前13码相同、第14码不同的记录形成 AB Group；SpecialReticle 被跳过且流程不中断。</x:v>
      </x:c>
      <x:c r="J10" s="71" t="str">
        <x:v>Not Run</x:v>
      </x:c>
      <x:c r="K10" s="72"/>
      <x:c r="L10" s="71" t="str"/>
      <x:c r="M10" s="69" t="str"/>
    </x:row>
    <x:row r="11" ht="58" customHeight="1">
      <x:c r="A11" s="70" t="str">
        <x:v>TC-RAB-007</x:v>
      </x:c>
      <x:c r="B11" s="70" t="str">
        <x:v>Central</x:v>
      </x:c>
      <x:c r="C11" s="70" t="str">
        <x:v>RTD/DSP · Report</x:v>
      </x:c>
      <x:c r="D11" s="70" t="str">
        <x:v>Target Stocker 取得</x:v>
      </x:c>
      <x:c r="E11" s="70" t="str">
        <x:v>R2｜候选 Stocker 过滤</x:v>
      </x:c>
      <x:c r="F11" s="70" t="str">
        <x:v>正向</x:v>
      </x:c>
      <x:c r="G11" s="69" t="str">
        <x:v>验证 RTLSTK_BARE 正常候选</x:v>
      </x:c>
      <x:c r="H11" s="69" t="str">
        <x:v>Target 记录满足 eqpkind='Stocker'、processtype='Stocker'、stockertype='RETICLE'、constructtype='Normal'、TYPE='RTLSTK_BARE'，且 name 不等于当前 ReticleLocation。</x:v>
      </x:c>
      <x:c r="I11" s="69" t="str">
        <x:v>该机台进入 Target Stocker 候选集合。</x:v>
      </x:c>
      <x:c r="J11" s="71" t="str">
        <x:v>Not Run</x:v>
      </x:c>
      <x:c r="K11" s="72"/>
      <x:c r="L11" s="71" t="str"/>
      <x:c r="M11" s="69" t="str">
        <x:v>数据源：设备与 Location 相关表</x:v>
      </x:c>
    </x:row>
    <x:row r="12" ht="58" customHeight="1">
      <x:c r="A12" s="70" t="str">
        <x:v>TC-RAB-008</x:v>
      </x:c>
      <x:c r="B12" s="70" t="str">
        <x:v>Central</x:v>
      </x:c>
      <x:c r="C12" s="70" t="str">
        <x:v>RTD/DSP · Report</x:v>
      </x:c>
      <x:c r="D12" s="70" t="str">
        <x:v>Target Stocker 取得</x:v>
      </x:c>
      <x:c r="E12" s="70" t="str">
        <x:v>R2｜候选 Stocker 过滤</x:v>
      </x:c>
      <x:c r="F12" s="70" t="str">
        <x:v>正向</x:v>
      </x:c>
      <x:c r="G12" s="69" t="str">
        <x:v>验证 XCDA/NOXCDA 两类正常候选</x:v>
      </x:c>
      <x:c r="H12" s="69" t="str">
        <x:v>分别准备 TYPE='RTLSTK_XCDA' 与 TYPE='RTLSTK_NOXCDA'，其余过滤条件均满足。</x:v>
      </x:c>
      <x:c r="I12" s="69" t="str">
        <x:v>两类机台均进入 Target Stocker 候选集合。</x:v>
      </x:c>
      <x:c r="J12" s="71" t="str">
        <x:v>Not Run</x:v>
      </x:c>
      <x:c r="K12" s="72"/>
      <x:c r="L12" s="71" t="str"/>
      <x:c r="M12" s="69" t="str">
        <x:v>参数化执行两次</x:v>
      </x:c>
    </x:row>
    <x:row r="13" ht="58" customHeight="1">
      <x:c r="A13" s="70" t="str">
        <x:v>TC-RAB-009</x:v>
      </x:c>
      <x:c r="B13" s="70" t="str">
        <x:v>Central</x:v>
      </x:c>
      <x:c r="C13" s="70" t="str">
        <x:v>RTD/DSP · Report</x:v>
      </x:c>
      <x:c r="D13" s="70" t="str">
        <x:v>Target Stocker 取得</x:v>
      </x:c>
      <x:c r="E13" s="70" t="str">
        <x:v>R2｜排除当前所在 Stocker</x:v>
      </x:c>
      <x:c r="F13" s="70" t="str">
        <x:v>反向</x:v>
      </x:c>
      <x:c r="G13" s="69" t="str">
        <x:v>验证当前 ReticleLocation 不可作为 Target</x:v>
      </x:c>
      <x:c r="H13" s="69" t="str">
        <x:v>候选机台全部字段有效，但 name=待传出 Reticle 当前 ReticleLocation。</x:v>
      </x:c>
      <x:c r="I13" s="69" t="str">
        <x:v>该机台被排除，不允许原 Stocker 被选为 Target。</x:v>
      </x:c>
      <x:c r="J13" s="71" t="str">
        <x:v>Not Run</x:v>
      </x:c>
      <x:c r="K13" s="72"/>
      <x:c r="L13" s="71" t="str"/>
      <x:c r="M13" s="69" t="str"/>
    </x:row>
    <x:row r="14" ht="58" customHeight="1">
      <x:c r="A14" s="70" t="str">
        <x:v>TC-RAB-010</x:v>
      </x:c>
      <x:c r="B14" s="70" t="str">
        <x:v>Central</x:v>
      </x:c>
      <x:c r="C14" s="70" t="str">
        <x:v>RTD/DSP · Report</x:v>
      </x:c>
      <x:c r="D14" s="70" t="str">
        <x:v>Target Stocker 取得</x:v>
      </x:c>
      <x:c r="E14" s="70" t="str">
        <x:v>R2｜候选 Stocker 过滤</x:v>
      </x:c>
      <x:c r="F14" s="70" t="str">
        <x:v>反向</x:v>
      </x:c>
      <x:c r="G14" s="69" t="str">
        <x:v>验证 eqpkind 条件</x:v>
      </x:c>
      <x:c r="H14" s="69" t="str">
        <x:v>设置 eqpkind!='Stocker'，其余条件满足。</x:v>
      </x:c>
      <x:c r="I14" s="69" t="str">
        <x:v>该记录不进入 Target Stocker 候选集合。</x:v>
      </x:c>
      <x:c r="J14" s="71" t="str">
        <x:v>Not Run</x:v>
      </x:c>
      <x:c r="K14" s="72"/>
      <x:c r="L14" s="71" t="str"/>
      <x:c r="M14" s="69" t="str"/>
    </x:row>
    <x:row r="15" ht="58" customHeight="1">
      <x:c r="A15" s="70" t="str">
        <x:v>TC-RAB-011</x:v>
      </x:c>
      <x:c r="B15" s="70" t="str">
        <x:v>Central</x:v>
      </x:c>
      <x:c r="C15" s="70" t="str">
        <x:v>RTD/DSP · Report</x:v>
      </x:c>
      <x:c r="D15" s="70" t="str">
        <x:v>Target Stocker 取得</x:v>
      </x:c>
      <x:c r="E15" s="70" t="str">
        <x:v>R2｜候选 Stocker 过滤</x:v>
      </x:c>
      <x:c r="F15" s="70" t="str">
        <x:v>反向</x:v>
      </x:c>
      <x:c r="G15" s="69" t="str">
        <x:v>验证 processtype 条件</x:v>
      </x:c>
      <x:c r="H15" s="69" t="str">
        <x:v>设置 processtype!='Stocker'，其余条件满足。</x:v>
      </x:c>
      <x:c r="I15" s="69" t="str">
        <x:v>该记录不进入 Target Stocker 候选集合。</x:v>
      </x:c>
      <x:c r="J15" s="71" t="str">
        <x:v>Not Run</x:v>
      </x:c>
      <x:c r="K15" s="72"/>
      <x:c r="L15" s="71" t="str"/>
      <x:c r="M15" s="69" t="str"/>
    </x:row>
    <x:row r="16" ht="58" customHeight="1">
      <x:c r="A16" s="70" t="str">
        <x:v>TC-RAB-012</x:v>
      </x:c>
      <x:c r="B16" s="70" t="str">
        <x:v>Central</x:v>
      </x:c>
      <x:c r="C16" s="70" t="str">
        <x:v>RTD/DSP · Report</x:v>
      </x:c>
      <x:c r="D16" s="70" t="str">
        <x:v>Target Stocker 取得</x:v>
      </x:c>
      <x:c r="E16" s="70" t="str">
        <x:v>R2｜候选 Stocker 过滤</x:v>
      </x:c>
      <x:c r="F16" s="70" t="str">
        <x:v>反向</x:v>
      </x:c>
      <x:c r="G16" s="69" t="str">
        <x:v>验证 stockertype 条件</x:v>
      </x:c>
      <x:c r="H16" s="69" t="str">
        <x:v>设置 stockertype!='RETICLE'，其余条件满足。</x:v>
      </x:c>
      <x:c r="I16" s="69" t="str">
        <x:v>该记录不进入 Target Stocker 候选集合。</x:v>
      </x:c>
      <x:c r="J16" s="71" t="str">
        <x:v>Not Run</x:v>
      </x:c>
      <x:c r="K16" s="72"/>
      <x:c r="L16" s="71" t="str"/>
      <x:c r="M16" s="69" t="str"/>
    </x:row>
    <x:row r="17" ht="58" customHeight="1">
      <x:c r="A17" s="70" t="str">
        <x:v>TC-RAB-013</x:v>
      </x:c>
      <x:c r="B17" s="70" t="str">
        <x:v>Central</x:v>
      </x:c>
      <x:c r="C17" s="70" t="str">
        <x:v>RTD/DSP · Report</x:v>
      </x:c>
      <x:c r="D17" s="70" t="str">
        <x:v>Target Stocker 取得</x:v>
      </x:c>
      <x:c r="E17" s="70" t="str">
        <x:v>R2｜候选 Stocker 过滤</x:v>
      </x:c>
      <x:c r="F17" s="70" t="str">
        <x:v>反向</x:v>
      </x:c>
      <x:c r="G17" s="69" t="str">
        <x:v>验证 constructtype 条件</x:v>
      </x:c>
      <x:c r="H17" s="69" t="str">
        <x:v>设置 constructtype!='Normal'，其余条件满足。</x:v>
      </x:c>
      <x:c r="I17" s="69" t="str">
        <x:v>该记录不进入 Target Stocker 候选集合。</x:v>
      </x:c>
      <x:c r="J17" s="71" t="str">
        <x:v>Not Run</x:v>
      </x:c>
      <x:c r="K17" s="72"/>
      <x:c r="L17" s="71" t="str"/>
      <x:c r="M17" s="69" t="str"/>
    </x:row>
    <x:row r="18" ht="58" customHeight="1">
      <x:c r="A18" s="70" t="str">
        <x:v>TC-RAB-014</x:v>
      </x:c>
      <x:c r="B18" s="70" t="str">
        <x:v>Central</x:v>
      </x:c>
      <x:c r="C18" s="70" t="str">
        <x:v>RTD/DSP · Report</x:v>
      </x:c>
      <x:c r="D18" s="70" t="str">
        <x:v>Target Stocker 取得</x:v>
      </x:c>
      <x:c r="E18" s="70" t="str">
        <x:v>R2｜候选 Stocker 过滤</x:v>
      </x:c>
      <x:c r="F18" s="70" t="str">
        <x:v>反向</x:v>
      </x:c>
      <x:c r="G18" s="69" t="str">
        <x:v>验证 TYPE 白名单</x:v>
      </x:c>
      <x:c r="H18" s="69" t="str">
        <x:v>设置 TYPE 为非 RTLSTK_BARE/RTLSTK_XCDA/RTLSTK_NOXCDA 的值，其余条件满足。</x:v>
      </x:c>
      <x:c r="I18" s="69" t="str">
        <x:v>该记录不进入 Target Stocker 候选集合。</x:v>
      </x:c>
      <x:c r="J18" s="71" t="str">
        <x:v>Not Run</x:v>
      </x:c>
      <x:c r="K18" s="72"/>
      <x:c r="L18" s="71" t="str"/>
      <x:c r="M18" s="69" t="str"/>
    </x:row>
    <x:row r="19" ht="58" customHeight="1">
      <x:c r="A19" s="70" t="str">
        <x:v>TC-RAB-015</x:v>
      </x:c>
      <x:c r="B19" s="70" t="str">
        <x:v>Central</x:v>
      </x:c>
      <x:c r="C19" s="70" t="str">
        <x:v>RTD/DSP · Report</x:v>
      </x:c>
      <x:c r="D19" s="70" t="str">
        <x:v>Target Stocker 取得</x:v>
      </x:c>
      <x:c r="E19" s="70" t="str">
        <x:v>R2｜多候选取得与去重</x:v>
      </x:c>
      <x:c r="F19" s="70" t="str">
        <x:v>数据处理</x:v>
      </x:c>
      <x:c r="G19" s="69" t="str">
        <x:v>验证多个合法 Target 均可取得且不重复</x:v>
      </x:c>
      <x:c r="H19" s="69" t="str">
        <x:v>准备 STK_RSP_02、STK_BRS_01 两个合法候选，并使设备扩展表 Join 产生重复行。</x:v>
      </x:c>
      <x:c r="I19" s="69" t="str">
        <x:v>输出包含两个合法 Target，每个 Stocker 仅保留一个候选对象。</x:v>
      </x:c>
      <x:c r="J19" s="71" t="str">
        <x:v>Not Run</x:v>
      </x:c>
      <x:c r="K19" s="72"/>
      <x:c r="L19" s="71" t="str"/>
      <x:c r="M19" s="69" t="str">
        <x:v>去重为防止多表 Join 放大</x:v>
      </x:c>
    </x:row>
    <x:row r="20" ht="58" customHeight="1">
      <x:c r="A20" s="70" t="str">
        <x:v>TC-RAB-016</x:v>
      </x:c>
      <x:c r="B20" s="70" t="str">
        <x:v>Central</x:v>
      </x:c>
      <x:c r="C20" s="70" t="str">
        <x:v>RTD/DSP · Report</x:v>
      </x:c>
      <x:c r="D20" s="70" t="str">
        <x:v>Target Stocker 取得</x:v>
      </x:c>
      <x:c r="E20" s="70" t="str">
        <x:v>R2｜无合法候选处理</x:v>
      </x:c>
      <x:c r="F20" s="70" t="str">
        <x:v>边界</x:v>
      </x:c>
      <x:c r="G20" s="69" t="str">
        <x:v>验证没有合法 Target 时流程安全结束</x:v>
      </x:c>
      <x:c r="H20" s="69" t="str">
        <x:v>所有机台至少有一个过滤条件不满足，或唯一合法记录为当前 Stocker。</x:v>
      </x:c>
      <x:c r="I20" s="69" t="str">
        <x:v>Target 集合为空；不产生错误的 TransportOut 目的地或异常中断。</x:v>
      </x:c>
      <x:c r="J20" s="71" t="str">
        <x:v>Not Run</x:v>
      </x:c>
      <x:c r="K20" s="72"/>
      <x:c r="L20" s="71" t="str"/>
      <x:c r="M20" s="69" t="str"/>
    </x:row>
    <x:row r="21" ht="58" customHeight="1">
      <x:c r="A21" s="70" t="str">
        <x:v>TC-RAB-017</x:v>
      </x:c>
      <x:c r="B21" s="70" t="str">
        <x:v>Central</x:v>
      </x:c>
      <x:c r="C21" s="70" t="str">
        <x:v>RTD/DSP · Report</x:v>
      </x:c>
      <x:c r="D21" s="70" t="str">
        <x:v>Target Reticle 汇总</x:v>
      </x:c>
      <x:c r="E21" s="70" t="str">
        <x:v>R3｜Target 内既有 Reticle 取得</x:v>
      </x:c>
      <x:c r="F21" s="70" t="str">
        <x:v>正向</x:v>
      </x:c>
      <x:c r="G21" s="69" t="str">
        <x:v>验证库存 Reticle 被纳入 Target 内容</x:v>
      </x:c>
      <x:c r="H21" s="69" t="str">
        <x:v>在 fwinvmaterialpropertyext/fwinvdurableserialized/fwinvlocation 关联数据中，使 wname=STK_RSP_02，id=RETICLE000001B。</x:v>
      </x:c>
      <x:c r="I21" s="69" t="str">
        <x:v>RETICLE000001B 被纳入 STK_RSP_02 的既有 Reticle 集合。</x:v>
      </x:c>
      <x:c r="J21" s="71" t="str">
        <x:v>Not Run</x:v>
      </x:c>
      <x:c r="K21" s="72"/>
      <x:c r="L21" s="71" t="str"/>
      <x:c r="M21" s="69" t="str"/>
    </x:row>
    <x:row r="22" ht="58" customHeight="1">
      <x:c r="A22" s="70" t="str">
        <x:v>TC-RAB-018</x:v>
      </x:c>
      <x:c r="B22" s="70" t="str">
        <x:v>Central</x:v>
      </x:c>
      <x:c r="C22" s="70" t="str">
        <x:v>RTD/DSP · Report</x:v>
      </x:c>
      <x:c r="D22" s="70" t="str">
        <x:v>Target Reticle 汇总</x:v>
      </x:c>
      <x:c r="E22" s="70" t="str">
        <x:v>R3｜正搬入 Reticle 取得</x:v>
      </x:c>
      <x:c r="F22" s="70" t="str">
        <x:v>正向</x:v>
      </x:c>
      <x:c r="G22" s="69" t="str">
        <x:v>验证预约搬入 Reticle 被纳入 Target 内容</x:v>
      </x:c>
      <x:c r="H22" s="69" t="str">
        <x:v>fwinvslotcontainer/Ext 中 requesteddeviceid=STK_RSP_02，reservedreticleid=RETICLE000001B。</x:v>
      </x:c>
      <x:c r="I22" s="69" t="str">
        <x:v>RETICLE000001B 被纳入 STK_RSP_02 的正搬入 Reticle 集合。</x:v>
      </x:c>
      <x:c r="J22" s="71" t="str">
        <x:v>Not Run</x:v>
      </x:c>
      <x:c r="K22" s="72"/>
      <x:c r="L22" s="71" t="str"/>
      <x:c r="M22" s="69" t="str"/>
    </x:row>
    <x:row r="23" ht="58" customHeight="1">
      <x:c r="A23" s="70" t="str">
        <x:v>TC-RAB-019</x:v>
      </x:c>
      <x:c r="B23" s="70" t="str">
        <x:v>Central</x:v>
      </x:c>
      <x:c r="C23" s="70" t="str">
        <x:v>RTD/DSP · Report</x:v>
      </x:c>
      <x:c r="D23" s="70" t="str">
        <x:v>Target Reticle 汇总</x:v>
      </x:c>
      <x:c r="E23" s="70" t="str">
        <x:v>R3｜正搬入 Reticle 过滤</x:v>
      </x:c>
      <x:c r="F23" s="70" t="str">
        <x:v>反向</x:v>
      </x:c>
      <x:c r="G23" s="69" t="str">
        <x:v>验证其他 Target 的预约记录不被误用</x:v>
      </x:c>
      <x:c r="H23" s="69" t="str">
        <x:v>存在 reservedreticleid=RETICLE000001B，但 requesteddeviceid=STK_BRS_01；当前判断对象为 STK_RSP_02。</x:v>
      </x:c>
      <x:c r="I23" s="69" t="str">
        <x:v>该预约记录不计入 STK_RSP_02 的 Reticle 集合。</x:v>
      </x:c>
      <x:c r="J23" s="71" t="str">
        <x:v>Not Run</x:v>
      </x:c>
      <x:c r="K23" s="72"/>
      <x:c r="L23" s="71" t="str"/>
      <x:c r="M23" s="69" t="str"/>
    </x:row>
    <x:row r="24" ht="58" customHeight="1">
      <x:c r="A24" s="70" t="str">
        <x:v>TC-RAB-020</x:v>
      </x:c>
      <x:c r="B24" s="70" t="str">
        <x:v>Central</x:v>
      </x:c>
      <x:c r="C24" s="70" t="str">
        <x:v>RTD/DSP · Report</x:v>
      </x:c>
      <x:c r="D24" s="70" t="str">
        <x:v>Target Reticle 汇总</x:v>
      </x:c>
      <x:c r="E24" s="70" t="str">
        <x:v>R3｜既有与正搬入数据合并</x:v>
      </x:c>
      <x:c r="F24" s="70" t="str">
        <x:v>数据处理</x:v>
      </x:c>
      <x:c r="G24" s="69" t="str">
        <x:v>验证两类 Reticle 合并后共同参与判断</x:v>
      </x:c>
      <x:c r="H24" s="69" t="str">
        <x:v>STK_RSP_02 既有 RETICLE000002A，同时有 reservedreticleid=RETICLE000001B 正搬入。</x:v>
      </x:c>
      <x:c r="I24" s="69" t="str">
        <x:v>Target Reticle 集合同时包含两条记录，后续按合并后的完整集合计算 ExistMaskA&amp;B。</x:v>
      </x:c>
      <x:c r="J24" s="71" t="str">
        <x:v>Not Run</x:v>
      </x:c>
      <x:c r="K24" s="72"/>
      <x:c r="L24" s="71" t="str"/>
      <x:c r="M24" s="69" t="str"/>
    </x:row>
    <x:row r="25" ht="58" customHeight="1">
      <x:c r="A25" s="70" t="str">
        <x:v>TC-RAB-021</x:v>
      </x:c>
      <x:c r="B25" s="70" t="str">
        <x:v>Central</x:v>
      </x:c>
      <x:c r="C25" s="70" t="str">
        <x:v>RTD/DSP · Report</x:v>
      </x:c>
      <x:c r="D25" s="70" t="str">
        <x:v>Target Reticle 汇总</x:v>
      </x:c>
      <x:c r="E25" s="70" t="str">
        <x:v>R3｜重复数据处理</x:v>
      </x:c>
      <x:c r="F25" s="70" t="str">
        <x:v>数据处理</x:v>
      </x:c>
      <x:c r="G25" s="69" t="str">
        <x:v>验证同一 Reticle 多次 Join/重复出现不影响结果</x:v>
      </x:c>
      <x:c r="H25" s="69" t="str">
        <x:v>同一 id/reservedreticleid 在查询结果中重复两次以上。</x:v>
      </x:c>
      <x:c r="I25" s="69" t="str">
        <x:v>汇总结果按 Reticle 唯一标识处理；冲突 Flag 正确且不因重复数据产生额外搬送。</x:v>
      </x:c>
      <x:c r="J25" s="71" t="str">
        <x:v>Not Run</x:v>
      </x:c>
      <x:c r="K25" s="72"/>
      <x:c r="L25" s="71" t="str"/>
      <x:c r="M25" s="69" t="str"/>
    </x:row>
    <x:row r="26" ht="58" customHeight="1">
      <x:c r="A26" s="70" t="str">
        <x:v>TC-RAB-022</x:v>
      </x:c>
      <x:c r="B26" s="70" t="str">
        <x:v>Central</x:v>
      </x:c>
      <x:c r="C26" s="70" t="str">
        <x:v>RTD/DSP · Report</x:v>
      </x:c>
      <x:c r="D26" s="70" t="str">
        <x:v>Target Reticle 汇总</x:v>
      </x:c>
      <x:c r="E26" s="70" t="str">
        <x:v>R3｜空 Target 内容</x:v>
      </x:c>
      <x:c r="F26" s="70" t="str">
        <x:v>边界</x:v>
      </x:c>
      <x:c r="G26" s="69" t="str">
        <x:v>验证 Target 既无库存也无预约搬入</x:v>
      </x:c>
      <x:c r="H26" s="69" t="str">
        <x:v>既有 Reticle 查询与正搬入查询均无记录。</x:v>
      </x:c>
      <x:c r="I26" s="69" t="str">
        <x:v>Target Reticle 集合为空，后续 ExistMaskA&amp;B 判为 F。</x:v>
      </x:c>
      <x:c r="J26" s="71" t="str">
        <x:v>Not Run</x:v>
      </x:c>
      <x:c r="K26" s="72"/>
      <x:c r="L26" s="71" t="str"/>
      <x:c r="M26" s="69" t="str"/>
    </x:row>
    <x:row r="27" ht="58" customHeight="1">
      <x:c r="A27" s="70" t="str">
        <x:v>TC-RAB-023</x:v>
      </x:c>
      <x:c r="B27" s="70" t="str">
        <x:v>Central</x:v>
      </x:c>
      <x:c r="C27" s="70" t="str">
        <x:v>RTD/DSP · Report</x:v>
      </x:c>
      <x:c r="D27" s="70" t="str">
        <x:v>ExistMaskA&amp;B</x:v>
      </x:c>
      <x:c r="E27" s="70" t="str">
        <x:v>R4｜AB 冲突 Flag</x:v>
      </x:c>
      <x:c r="F27" s="70" t="str">
        <x:v>正向</x:v>
      </x:c>
      <x:c r="G27" s="69" t="str">
        <x:v>验证 Target 已存在对版时 Flag=T</x:v>
      </x:c>
      <x:c r="H27" s="69" t="str">
        <x:v>传出 RETICLE000001A；Target 既有 RETICLE000001B。</x:v>
      </x:c>
      <x:c r="I27" s="69" t="str">
        <x:v>Target 标记 ExistMaskA&amp;B=T。</x:v>
      </x:c>
      <x:c r="J27" s="71" t="str">
        <x:v>Not Run</x:v>
      </x:c>
      <x:c r="K27" s="72"/>
      <x:c r="L27" s="71" t="str"/>
      <x:c r="M27" s="69" t="str"/>
    </x:row>
    <x:row r="28" ht="58" customHeight="1">
      <x:c r="A28" s="70" t="str">
        <x:v>TC-RAB-024</x:v>
      </x:c>
      <x:c r="B28" s="70" t="str">
        <x:v>Central</x:v>
      </x:c>
      <x:c r="C28" s="70" t="str">
        <x:v>RTD/DSP · Report</x:v>
      </x:c>
      <x:c r="D28" s="70" t="str">
        <x:v>ExistMaskA&amp;B</x:v>
      </x:c>
      <x:c r="E28" s="70" t="str">
        <x:v>R4｜AB 冲突 Flag</x:v>
      </x:c>
      <x:c r="F28" s="70" t="str">
        <x:v>正向</x:v>
      </x:c>
      <x:c r="G28" s="69" t="str">
        <x:v>验证 Target 正搬入对版时 Flag=T</x:v>
      </x:c>
      <x:c r="H28" s="69" t="str">
        <x:v>传出 RETICLE000001A；Target 无既有对版，但预约搬入 RETICLE000001B。</x:v>
      </x:c>
      <x:c r="I28" s="69" t="str">
        <x:v>Target 标记 ExistMaskA&amp;B=T，避免并发搬入造成 A/B 同仓。</x:v>
      </x:c>
      <x:c r="J28" s="71" t="str">
        <x:v>Not Run</x:v>
      </x:c>
      <x:c r="K28" s="72"/>
      <x:c r="L28" s="71" t="str"/>
      <x:c r="M28" s="69" t="str"/>
    </x:row>
    <x:row r="29" ht="58" customHeight="1">
      <x:c r="A29" s="70" t="str">
        <x:v>TC-RAB-025</x:v>
      </x:c>
      <x:c r="B29" s="70" t="str">
        <x:v>Central</x:v>
      </x:c>
      <x:c r="C29" s="70" t="str">
        <x:v>RTD/DSP · Report</x:v>
      </x:c>
      <x:c r="D29" s="70" t="str">
        <x:v>ExistMaskA&amp;B</x:v>
      </x:c>
      <x:c r="E29" s="70" t="str">
        <x:v>R4｜AB 冲突 Flag</x:v>
      </x:c>
      <x:c r="F29" s="70" t="str">
        <x:v>反向</x:v>
      </x:c>
      <x:c r="G29" s="69" t="str">
        <x:v>验证 Target 只有同一 ID 时不误判对版</x:v>
      </x:c>
      <x:c r="H29" s="69" t="str">
        <x:v>传出 RETICLE000001A；Target 查询结果仅含 RETICLE000001A。</x:v>
      </x:c>
      <x:c r="I29" s="69" t="str">
        <x:v>因第14码相同，不构成 A/B 对版，ExistMaskA&amp;B=F。</x:v>
      </x:c>
      <x:c r="J29" s="71" t="str">
        <x:v>Not Run</x:v>
      </x:c>
      <x:c r="K29" s="72"/>
      <x:c r="L29" s="71" t="str"/>
      <x:c r="M29" s="69" t="str"/>
    </x:row>
    <x:row r="30" ht="58" customHeight="1">
      <x:c r="A30" s="70" t="str">
        <x:v>TC-RAB-026</x:v>
      </x:c>
      <x:c r="B30" s="70" t="str">
        <x:v>Central</x:v>
      </x:c>
      <x:c r="C30" s="70" t="str">
        <x:v>RTD/DSP · Report</x:v>
      </x:c>
      <x:c r="D30" s="70" t="str">
        <x:v>ExistMaskA&amp;B</x:v>
      </x:c>
      <x:c r="E30" s="70" t="str">
        <x:v>R4｜AB 冲突 Flag</x:v>
      </x:c>
      <x:c r="F30" s="70" t="str">
        <x:v>反向</x:v>
      </x:c>
      <x:c r="G30" s="69" t="str">
        <x:v>验证不同 Group 不误判</x:v>
      </x:c>
      <x:c r="H30" s="69" t="str">
        <x:v>传出 RETICLE000001A；Target 含 RETICLE000002B。</x:v>
      </x:c>
      <x:c r="I30" s="69" t="str">
        <x:v>前13码不同，ExistMaskA&amp;B=F。</x:v>
      </x:c>
      <x:c r="J30" s="71" t="str">
        <x:v>Not Run</x:v>
      </x:c>
      <x:c r="K30" s="72"/>
      <x:c r="L30" s="71" t="str"/>
      <x:c r="M30" s="69" t="str"/>
    </x:row>
    <x:row r="31" ht="58" customHeight="1">
      <x:c r="A31" s="70" t="str">
        <x:v>TC-RAB-027</x:v>
      </x:c>
      <x:c r="B31" s="70" t="str">
        <x:v>Central</x:v>
      </x:c>
      <x:c r="C31" s="70" t="str">
        <x:v>RTD/DSP · Report</x:v>
      </x:c>
      <x:c r="D31" s="70" t="str">
        <x:v>ExistMaskA&amp;B</x:v>
      </x:c>
      <x:c r="E31" s="70" t="str">
        <x:v>R4｜AB 冲突 Flag</x:v>
      </x:c>
      <x:c r="F31" s="70" t="str">
        <x:v>边界</x:v>
      </x:c>
      <x:c r="G31" s="69" t="str">
        <x:v>验证 SpecialReticle 不参与冲突 Flag</x:v>
      </x:c>
      <x:c r="H31" s="69" t="str">
        <x:v>传出标准14码 Reticle；Target 仅含13码或15码、前缀相似的 SpecialReticle。</x:v>
      </x:c>
      <x:c r="I31" s="69" t="str">
        <x:v>SpecialReticle 被排除，ExistMaskA&amp;B=F。</x:v>
      </x:c>
      <x:c r="J31" s="71" t="str">
        <x:v>Not Run</x:v>
      </x:c>
      <x:c r="K31" s="72"/>
      <x:c r="L31" s="71" t="str"/>
      <x:c r="M31" s="69" t="str"/>
    </x:row>
    <x:row r="32" ht="58" customHeight="1">
      <x:c r="A32" s="70" t="str">
        <x:v>TC-RAB-028</x:v>
      </x:c>
      <x:c r="B32" s="70" t="str">
        <x:v>Central</x:v>
      </x:c>
      <x:c r="C32" s="70" t="str">
        <x:v>RTD/DSP · Report</x:v>
      </x:c>
      <x:c r="D32" s="70" t="str">
        <x:v>ExistMaskA&amp;B</x:v>
      </x:c>
      <x:c r="E32" s="70" t="str">
        <x:v>R4｜混合内容 Flag</x:v>
      </x:c>
      <x:c r="F32" s="70" t="str">
        <x:v>数据处理</x:v>
      </x:c>
      <x:c r="G32" s="69" t="str">
        <x:v>验证 Target 含多块 Reticle 时任一对版即可置 T</x:v>
      </x:c>
      <x:c r="H32" s="69" t="str">
        <x:v>Target 同时含多个无关 Reticle 与一块 RETICLE000001B；传出 RETICLE000001A。</x:v>
      </x:c>
      <x:c r="I32" s="69" t="str">
        <x:v>只要完整集合中存在同 AB Group 的对版，ExistMaskA&amp;B=T。</x:v>
      </x:c>
      <x:c r="J32" s="71" t="str">
        <x:v>Not Run</x:v>
      </x:c>
      <x:c r="K32" s="72"/>
      <x:c r="L32" s="71" t="str"/>
      <x:c r="M32" s="69" t="str"/>
    </x:row>
    <x:row r="33" ht="58" customHeight="1">
      <x:c r="A33" s="70" t="str">
        <x:v>TC-RAB-029</x:v>
      </x:c>
      <x:c r="B33" s="70" t="str">
        <x:v>Central</x:v>
      </x:c>
      <x:c r="C33" s="70" t="str">
        <x:v>RTD/DSP · Report</x:v>
      </x:c>
      <x:c r="D33" s="70" t="str">
        <x:v>Target Stocker 排序</x:v>
      </x:c>
      <x:c r="E33" s="70" t="str">
        <x:v>R5｜ExistMaskA&amp;B 排序指标</x:v>
      </x:c>
      <x:c r="F33" s="70" t="str">
        <x:v>正向</x:v>
      </x:c>
      <x:c r="G33" s="69" t="str">
        <x:v>验证 F 候选优先于 T 候选</x:v>
      </x:c>
      <x:c r="H33" s="69" t="str">
        <x:v>两个 Target 原排序中 STK_RSP_02 在前且 Flag=T，STK_BRS_01 在后且 Flag=F。</x:v>
      </x:c>
      <x:c r="I33" s="69" t="str">
        <x:v>新增排序后 STK_BRS_01 排在 STK_RSP_02 前并优先被选中。</x:v>
      </x:c>
      <x:c r="J33" s="71" t="str">
        <x:v>Not Run</x:v>
      </x:c>
      <x:c r="K33" s="72"/>
      <x:c r="L33" s="71" t="str"/>
      <x:c r="M33" s="69" t="str"/>
    </x:row>
    <x:row r="34" ht="58" customHeight="1">
      <x:c r="A34" s="70" t="str">
        <x:v>TC-RAB-030</x:v>
      </x:c>
      <x:c r="B34" s="70" t="str">
        <x:v>Central</x:v>
      </x:c>
      <x:c r="C34" s="70" t="str">
        <x:v>RTD/DSP · Report</x:v>
      </x:c>
      <x:c r="D34" s="70" t="str">
        <x:v>Target Stocker 排序</x:v>
      </x:c>
      <x:c r="E34" s="70" t="str">
        <x:v>R5｜F 组内保持原排序</x:v>
      </x:c>
      <x:c r="F34" s="70" t="str">
        <x:v>回归</x:v>
      </x:c>
      <x:c r="G34" s="69" t="str">
        <x:v>验证多个 F 候选沿用原排序指标</x:v>
      </x:c>
      <x:c r="H34" s="69" t="str">
        <x:v>准备三个 ExistMaskA&amp;B=F 的 Target，原有水位/距离/优先级排序结果明确。</x:v>
      </x:c>
      <x:c r="I34" s="69" t="str">
        <x:v>三个 F 候选之间仍按原排序顺序选择，新指标不破坏原有组内排序。</x:v>
      </x:c>
      <x:c r="J34" s="71" t="str">
        <x:v>Not Run</x:v>
      </x:c>
      <x:c r="K34" s="72"/>
      <x:c r="L34" s="71" t="str"/>
      <x:c r="M34" s="69" t="str"/>
    </x:row>
    <x:row r="35" ht="58" customHeight="1">
      <x:c r="A35" s="70" t="str">
        <x:v>TC-RAB-031</x:v>
      </x:c>
      <x:c r="B35" s="70" t="str">
        <x:v>Central</x:v>
      </x:c>
      <x:c r="C35" s="70" t="str">
        <x:v>RTD/DSP · Report</x:v>
      </x:c>
      <x:c r="D35" s="70" t="str">
        <x:v>Target Stocker 排序</x:v>
      </x:c>
      <x:c r="E35" s="70" t="str">
        <x:v>R5｜全部候选冲突时回退</x:v>
      </x:c>
      <x:c r="F35" s="70" t="str">
        <x:v>边界</x:v>
      </x:c>
      <x:c r="G35" s="69" t="str">
        <x:v>验证所有 Target 均为 T 时流程不中断</x:v>
      </x:c>
      <x:c r="H35" s="69" t="str">
        <x:v>所有合法 Target 均存在或正搬入对应 AB 版，均标记 T。</x:v>
      </x:c>
      <x:c r="I35" s="69" t="str">
        <x:v>没有 F 候选时不应报错或空指针；暂按原排序继续选择/给出无可避让结果，最终规则以业务确认为准。</x:v>
      </x:c>
      <x:c r="J35" s="71" t="str">
        <x:v>Not Run</x:v>
      </x:c>
      <x:c r="K35" s="72"/>
      <x:c r="L35" s="71" t="str"/>
      <x:c r="M35" s="69" t="str">
        <x:v>待确认：需求仅明确 F 优先，未明确全 T 策略</x:v>
      </x:c>
    </x:row>
    <x:row r="36" ht="58" customHeight="1">
      <x:c r="A36" s="70" t="str">
        <x:v>TC-RAB-032</x:v>
      </x:c>
      <x:c r="B36" s="70" t="str">
        <x:v>Central</x:v>
      </x:c>
      <x:c r="C36" s="70" t="str">
        <x:v>RTD/DSP · Report</x:v>
      </x:c>
      <x:c r="D36" s="70" t="str">
        <x:v>Target Stocker 排序</x:v>
      </x:c>
      <x:c r="E36" s="70" t="str">
        <x:v>R5｜预约状态参与最终排序</x:v>
      </x:c>
      <x:c r="F36" s="70" t="str">
        <x:v>联动</x:v>
      </x:c>
      <x:c r="G36" s="69" t="str">
        <x:v>验证最终选择前能识别已产生的搬入预约</x:v>
      </x:c>
      <x:c r="H36" s="69" t="str">
        <x:v>初次候选取得后，STK_RSP_02 新增 reservedreticleid=对应 B 版；执行最终 Target 选择。</x:v>
      </x:c>
      <x:c r="I36" s="69" t="str">
        <x:v>最终判断将 STK_RSP_02 标记 T，并优先选择仍为 F 的其他 Target。</x:v>
      </x:c>
      <x:c r="J36" s="71" t="str">
        <x:v>Not Run</x:v>
      </x:c>
      <x:c r="K36" s="72"/>
      <x:c r="L36" s="71" t="str"/>
      <x:c r="M36" s="69" t="str">
        <x:v>执行时需控制预约数据生成时点</x:v>
      </x:c>
    </x:row>
    <x:row r="37" ht="58" customHeight="1">
      <x:c r="A37" s="70" t="str">
        <x:v>TC-RAB-033</x:v>
      </x:c>
      <x:c r="B37" s="70" t="str">
        <x:v>Central</x:v>
      </x:c>
      <x:c r="C37" s="70" t="str">
        <x:v>RTD/DSP · Balance</x:v>
      </x:c>
      <x:c r="D37" s="70" t="str">
        <x:v>ReticleStockerBalance</x:v>
      </x:c>
      <x:c r="E37" s="70" t="str">
        <x:v>R6｜保留原超水位触发</x:v>
      </x:c>
      <x:c r="F37" s="70" t="str">
        <x:v>回归</x:v>
      </x:c>
      <x:c r="G37" s="69" t="str">
        <x:v>验证超水位且无 AB Group 时原逻辑不变</x:v>
      </x:c>
      <x:c r="H37" s="69" t="str">
        <x:v>RSP/BRS Stocker Reticle 数量超过设定水位，但内部不存在同一 AB Group。</x:v>
      </x:c>
      <x:c r="I37" s="69" t="str">
        <x:v>按原超水位规则和原排序挑选 Reticle 执行 TransportOut。</x:v>
      </x:c>
      <x:c r="J37" s="71" t="str">
        <x:v>Not Run</x:v>
      </x:c>
      <x:c r="K37" s="72"/>
      <x:c r="L37" s="71" t="str"/>
      <x:c r="M37" s="69" t="str"/>
    </x:row>
    <x:row r="38" ht="58" customHeight="1">
      <x:c r="A38" s="70" t="str">
        <x:v>TC-RAB-034</x:v>
      </x:c>
      <x:c r="B38" s="70" t="str">
        <x:v>Central</x:v>
      </x:c>
      <x:c r="C38" s="70" t="str">
        <x:v>RTD/DSP · Balance</x:v>
      </x:c>
      <x:c r="D38" s="70" t="str">
        <x:v>ReticleStockerBalance</x:v>
      </x:c>
      <x:c r="E38" s="70" t="str">
        <x:v>R6｜AB 同仓主动触发 Balance</x:v>
      </x:c>
      <x:c r="F38" s="70" t="str">
        <x:v>正向</x:v>
      </x:c>
      <x:c r="G38" s="69" t="str">
        <x:v>验证未超水位也会因 A/B 同仓主动搬出</x:v>
      </x:c>
      <x:c r="H38" s="69" t="str">
        <x:v>分别在 RSP 与 BRS Stocker 中准备 RETICLE000001A/B，数量未超过设定水位。</x:v>
      </x:c>
      <x:c r="I38" s="69" t="str">
        <x:v>检测到同一 AB Group 后主动触发 ReticleBalance，并产生其中一块 Reticle 的 TransportOut。</x:v>
      </x:c>
      <x:c r="J38" s="71" t="str">
        <x:v>Not Run</x:v>
      </x:c>
      <x:c r="K38" s="72"/>
      <x:c r="L38" s="71" t="str"/>
      <x:c r="M38" s="69" t="str">
        <x:v>RSP、BRS 各执行一次</x:v>
      </x:c>
    </x:row>
    <x:row r="39" ht="58" customHeight="1">
      <x:c r="A39" s="70" t="str">
        <x:v>TC-RAB-035</x:v>
      </x:c>
      <x:c r="B39" s="70" t="str">
        <x:v>Central</x:v>
      </x:c>
      <x:c r="C39" s="70" t="str">
        <x:v>RTD/DSP · Balance</x:v>
      </x:c>
      <x:c r="D39" s="70" t="str">
        <x:v>ReticleStockerBalance</x:v>
      </x:c>
      <x:c r="E39" s="70" t="str">
        <x:v>R6｜主动触发条件反向验证</x:v>
      </x:c>
      <x:c r="F39" s="70" t="str">
        <x:v>反向</x:v>
      </x:c>
      <x:c r="G39" s="69" t="str">
        <x:v>验证未超水位且无 AB Group 时不新增搬送</x:v>
      </x:c>
      <x:c r="H39" s="69" t="str">
        <x:v>Stocker 数量未超水位，只有不同 Group Reticle 或单块 Reticle。</x:v>
      </x:c>
      <x:c r="I39" s="69" t="str">
        <x:v>不因本次新增逻辑触发 ReticleBalance/TransportOut。</x:v>
      </x:c>
      <x:c r="J39" s="71" t="str">
        <x:v>Not Run</x:v>
      </x:c>
      <x:c r="K39" s="72"/>
      <x:c r="L39" s="71" t="str"/>
      <x:c r="M39" s="69" t="str"/>
    </x:row>
    <x:row r="40" ht="58" customHeight="1">
      <x:c r="A40" s="70" t="str">
        <x:v>TC-RAB-036</x:v>
      </x:c>
      <x:c r="B40" s="70" t="str">
        <x:v>Central</x:v>
      </x:c>
      <x:c r="C40" s="70" t="str">
        <x:v>RTD/DSP · Balance</x:v>
      </x:c>
      <x:c r="D40" s="70" t="str">
        <x:v>ReticleStockerBalance</x:v>
      </x:c>
      <x:c r="E40" s="70" t="str">
        <x:v>R6｜AB Group 内挑选</x:v>
      </x:c>
      <x:c r="F40" s="70" t="str">
        <x:v>正向</x:v>
      </x:c>
      <x:c r="G40" s="69" t="str">
        <x:v>验证 TransportOut 对象必须来自冲突 Group</x:v>
      </x:c>
      <x:c r="H40" s="69" t="str">
        <x:v>Stocker 内有 RETICLE000001A/B 及多块其他 Reticle；原排序中其他 Reticle 更靠前。</x:v>
      </x:c>
      <x:c r="I40" s="69" t="str">
        <x:v>主动 Balance 的候选被限制为发生冲突的 AB Group，并按原排序从该 Group 选出一块 TransportOut。</x:v>
      </x:c>
      <x:c r="J40" s="71" t="str">
        <x:v>Not Run</x:v>
      </x:c>
      <x:c r="K40" s="72"/>
      <x:c r="L40" s="71" t="str"/>
      <x:c r="M40" s="69" t="str"/>
    </x:row>
    <x:row r="41" ht="58" customHeight="1">
      <x:c r="A41" s="70" t="str">
        <x:v>TC-RAB-037</x:v>
      </x:c>
      <x:c r="B41" s="70" t="str">
        <x:v>Central</x:v>
      </x:c>
      <x:c r="C41" s="70" t="str">
        <x:v>RTD/DSP · Balance</x:v>
      </x:c>
      <x:c r="D41" s="70" t="str">
        <x:v>ReticleStockerBalance</x:v>
      </x:c>
      <x:c r="E41" s="70" t="str">
        <x:v>R6｜多个 AB Group 的处理</x:v>
      </x:c>
      <x:c r="F41" s="70" t="str">
        <x:v>边界</x:v>
      </x:c>
      <x:c r="G41" s="69" t="str">
        <x:v>验证多个冲突 Group 时仍使用原排序指标</x:v>
      </x:c>
      <x:c r="H41" s="69" t="str">
        <x:v>同一 Stocker 同时存在 000001A/B 与 000002A/B 两个 AB Group，并设置原排序先后。</x:v>
      </x:c>
      <x:c r="I41" s="69" t="str">
        <x:v>系统在冲突 Group 候选范围内按原排序挑选 TransportOut 对象，不随机选择或挑到无关 Reticle。</x:v>
      </x:c>
      <x:c r="J41" s="71" t="str">
        <x:v>Not Run</x:v>
      </x:c>
      <x:c r="K41" s="72"/>
      <x:c r="L41" s="71" t="str"/>
      <x:c r="M41" s="69" t="str">
        <x:v>每次 Balance 搬送数量沿用原设计</x:v>
      </x:c>
    </x:row>
    <x:row r="42" ht="58" customHeight="1">
      <x:c r="A42" s="70" t="str">
        <x:v>TC-RAB-038</x:v>
      </x:c>
      <x:c r="B42" s="70" t="str">
        <x:v>Central</x:v>
      </x:c>
      <x:c r="C42" s="70" t="str">
        <x:v>RTD/DSP · Balance</x:v>
      </x:c>
      <x:c r="D42" s="70" t="str">
        <x:v>ReticleStockerBalance</x:v>
      </x:c>
      <x:c r="E42" s="70" t="str">
        <x:v>R6｜重复查询数据不触发误搬</x:v>
      </x:c>
      <x:c r="F42" s="70" t="str">
        <x:v>数据处理</x:v>
      </x:c>
      <x:c r="G42" s="69" t="str">
        <x:v>验证同一 ID 的重复行不被当成 A/B 两版</x:v>
      </x:c>
      <x:c r="H42" s="69" t="str">
        <x:v>查询结果因 Join 出现两条 RETICLE000001A，但仓内实际只有一块。</x:v>
      </x:c>
      <x:c r="I42" s="69" t="str">
        <x:v>不判为 AB Group，不触发新增主动 Balance。</x:v>
      </x:c>
      <x:c r="J42" s="71" t="str">
        <x:v>Not Run</x:v>
      </x:c>
      <x:c r="K42" s="72"/>
      <x:c r="L42" s="71" t="str"/>
      <x:c r="M42" s="69" t="str"/>
    </x:row>
    <x:row r="43" ht="58" customHeight="1">
      <x:c r="A43" s="70" t="str">
        <x:v>TC-RAB-039</x:v>
      </x:c>
      <x:c r="B43" s="70" t="str">
        <x:v>Central</x:v>
      </x:c>
      <x:c r="C43" s="70" t="str">
        <x:v>RTD/DSP · Balance</x:v>
      </x:c>
      <x:c r="D43" s="70" t="str">
        <x:v>ReticleStockerBalance</x:v>
      </x:c>
      <x:c r="E43" s="70" t="str">
        <x:v>R6｜SpecialReticle 回归</x:v>
      </x:c>
      <x:c r="F43" s="70" t="str">
        <x:v>回归</x:v>
      </x:c>
      <x:c r="G43" s="69" t="str">
        <x:v>验证多个相似 SpecialReticle 不触发主动 Balance</x:v>
      </x:c>
      <x:c r="H43" s="69" t="str">
        <x:v>Stocker 内放入13码/15码、前缀相似的 SpecialReticle，数量未超水位。</x:v>
      </x:c>
      <x:c r="I43" s="69" t="str">
        <x:v>SpecialReticle 不参与 AB 判定，不触发新增主动 Balance。</x:v>
      </x:c>
      <x:c r="J43" s="71" t="str">
        <x:v>Not Run</x:v>
      </x:c>
      <x:c r="K43" s="72"/>
      <x:c r="L43" s="71" t="str"/>
      <x:c r="M43" s="69" t="str"/>
    </x:row>
    <x:row r="44" ht="58" customHeight="1">
      <x:c r="A44" s="70" t="str">
        <x:v>TC-RAB-040</x:v>
      </x:c>
      <x:c r="B44" s="70" t="str">
        <x:v>Central</x:v>
      </x:c>
      <x:c r="C44" s="70" t="str">
        <x:v>RTD/DSP · Balance</x:v>
      </x:c>
      <x:c r="D44" s="70" t="str">
        <x:v>ReticleStockerBalance</x:v>
      </x:c>
      <x:c r="E44" s="70" t="str">
        <x:v>R6｜搬出后的再次扫描</x:v>
      </x:c>
      <x:c r="F44" s="70" t="str">
        <x:v>联动</x:v>
      </x:c>
      <x:c r="G44" s="69" t="str">
        <x:v>验证冲突解除后不会重复触发</x:v>
      </x:c>
      <x:c r="H44" s="69" t="str">
        <x:v>A/B 同仓触发一次并成功搬出其中一块；下一周期重新执行 Balance。</x:v>
      </x:c>
      <x:c r="I44" s="69" t="str">
        <x:v>原 Stocker 已无同一 AB Group 时不再因该 Group 重复触发主动搬送。</x:v>
      </x:c>
      <x:c r="J44" s="71" t="str">
        <x:v>Not Run</x:v>
      </x:c>
      <x:c r="K44" s="72"/>
      <x:c r="L44" s="71" t="str"/>
      <x:c r="M44" s="69" t="str"/>
    </x:row>
    <x:row r="45" ht="58" customHeight="1">
      <x:c r="A45" s="70" t="str">
        <x:v>TC-RAB-041</x:v>
      </x:c>
      <x:c r="B45" s="70" t="str">
        <x:v>Central</x:v>
      </x:c>
      <x:c r="C45" s="70" t="str">
        <x:v>RTD/DSP · Balance/Report</x:v>
      </x:c>
      <x:c r="D45" s="70" t="str">
        <x:v>ReticleStockerBalance</x:v>
      </x:c>
      <x:c r="E45" s="70" t="str">
        <x:v>R6｜主动 Balance 端到端分仓</x:v>
      </x:c>
      <x:c r="F45" s="70" t="str">
        <x:v>联动</x:v>
      </x:c>
      <x:c r="G45" s="69" t="str">
        <x:v>验证主动搬出与 Target 避让形成闭环</x:v>
      </x:c>
      <x:c r="H45" s="69" t="str">
        <x:v>当前 STK_RSP_01 同仓 A/B；Target1 Flag=T、Target2 Flag=F；触发主动 Balance。</x:v>
      </x:c>
      <x:c r="I45" s="69" t="str">
        <x:v>从冲突 Group 选一块 TransportOut，并优先送往 Flag=F 的 Target2；搬送后源仓与目标仓均不形成 A/B 同仓。</x:v>
      </x:c>
      <x:c r="J45" s="71" t="str">
        <x:v>Not Run</x:v>
      </x:c>
      <x:c r="K45" s="72"/>
      <x:c r="L45" s="71" t="str"/>
      <x:c r="M45" s="69" t="str">
        <x:v>核心业务验收用例</x:v>
      </x:c>
    </x:row>
    <x:row r="46" ht="58" customHeight="1">
      <x:c r="A46" s="70" t="str">
        <x:v>TC-RAB-042</x:v>
      </x:c>
      <x:c r="B46" s="70" t="str">
        <x:v>Central</x:v>
      </x:c>
      <x:c r="C46" s="70" t="str">
        <x:v>RTD/DSP · WhereNext</x:v>
      </x:c>
      <x:c r="D46" s="70" t="str">
        <x:v>ReticleWhereNext</x:v>
      </x:c>
      <x:c r="E46" s="70" t="str">
        <x:v>R7｜WhereNext 新增 AB 排序</x:v>
      </x:c>
      <x:c r="F46" s="70" t="str">
        <x:v>正向</x:v>
      </x:c>
      <x:c r="G46" s="69" t="str">
        <x:v>验证既有对版影响 ReticleWhereNext 选仓</x:v>
      </x:c>
      <x:c r="H46" s="69" t="str">
        <x:v>本地 ReticleWhereNext 的 Target1 已有 B 版、Target2 无对版；传出 A 版，其他原排序条件相同。</x:v>
      </x:c>
      <x:c r="I46" s="69" t="str">
        <x:v>Target1 Flag=T、Target2 Flag=F；ReticleWhereNext 优先选择 Target2。</x:v>
      </x:c>
      <x:c r="J46" s="71" t="str">
        <x:v>Not Run</x:v>
      </x:c>
      <x:c r="K46" s="72"/>
      <x:c r="L46" s="71" t="str"/>
      <x:c r="M46" s="69" t="str"/>
    </x:row>
    <x:row r="47" ht="58" customHeight="1">
      <x:c r="A47" s="70" t="str">
        <x:v>TC-RAB-043</x:v>
      </x:c>
      <x:c r="B47" s="70" t="str">
        <x:v>Central</x:v>
      </x:c>
      <x:c r="C47" s="70" t="str">
        <x:v>RTD/DSP · WhereNext</x:v>
      </x:c>
      <x:c r="D47" s="70" t="str">
        <x:v>ReticleWhereNext</x:v>
      </x:c>
      <x:c r="E47" s="70" t="str">
        <x:v>R7｜WhereNext 识别正搬入对版</x:v>
      </x:c>
      <x:c r="F47" s="70" t="str">
        <x:v>联动</x:v>
      </x:c>
      <x:c r="G47" s="69" t="str">
        <x:v>验证预约搬入信息参与 ReticleWhereNext</x:v>
      </x:c>
      <x:c r="H47" s="69" t="str">
        <x:v>Target1 无既有 B 版但有 B 版 reservedreticleid 正搬入；Target2 无冲突。</x:v>
      </x:c>
      <x:c r="I47" s="69" t="str">
        <x:v>ReticleWhereNext 将 Target1 标记 T，优先选择 Target2。</x:v>
      </x:c>
      <x:c r="J47" s="71" t="str">
        <x:v>Not Run</x:v>
      </x:c>
      <x:c r="K47" s="72"/>
      <x:c r="L47" s="71" t="str"/>
      <x:c r="M47" s="69" t="str"/>
    </x:row>
    <x:row r="48" ht="58" customHeight="1">
      <x:c r="A48" s="70" t="str">
        <x:v>TC-RAB-044</x:v>
      </x:c>
      <x:c r="B48" s="70" t="str">
        <x:v>Central</x:v>
      </x:c>
      <x:c r="C48" s="70" t="str">
        <x:v>RTD/DSP · WhereNext</x:v>
      </x:c>
      <x:c r="D48" s="70" t="str">
        <x:v>ReticleWhereNext</x:v>
      </x:c>
      <x:c r="E48" s="70" t="str">
        <x:v>R7｜WhereNext 原排序回归</x:v>
      </x:c>
      <x:c r="F48" s="70" t="str">
        <x:v>回归</x:v>
      </x:c>
      <x:c r="G48" s="69" t="str">
        <x:v>验证所有候选均无 AB 冲突时原结果不变</x:v>
      </x:c>
      <x:c r="H48" s="69" t="str">
        <x:v>多个 Target 均为 ExistMaskA&amp;B=F，记录变更前原排序与选中结果。</x:v>
      </x:c>
      <x:c r="I48" s="69" t="str">
        <x:v>变更后仍按原指标排序，最终 Target 与变更前一致。</x:v>
      </x:c>
      <x:c r="J48" s="71" t="str">
        <x:v>Not Run</x:v>
      </x:c>
      <x:c r="K48" s="72"/>
      <x:c r="L48" s="71" t="str"/>
      <x:c r="M48" s="69" t="str"/>
    </x:row>
    <x:row r="49" ht="58" customHeight="1">
      <x:c r="A49" s="70" t="str">
        <x:v>TC-RAB-045</x:v>
      </x:c>
      <x:c r="B49" s="70" t="str">
        <x:v>Central</x:v>
      </x:c>
      <x:c r="C49" s="70" t="str">
        <x:v>RTD/DSP · CentralWhereNext</x:v>
      </x:c>
      <x:c r="D49" s="70" t="str">
        <x:v>CentralReticleWhereNext</x:v>
      </x:c>
      <x:c r="E49" s="70" t="str">
        <x:v>R8｜CentralWhereNext 新增 AB 排序</x:v>
      </x:c>
      <x:c r="F49" s="70" t="str">
        <x:v>正向</x:v>
      </x:c>
      <x:c r="G49" s="69" t="str">
        <x:v>验证既有对版影响 CentralReticleWhereNext 选仓</x:v>
      </x:c>
      <x:c r="H49" s="69" t="str">
        <x:v>Central 计算中 Target1 已有 B 版、Target2 无对版；传出 A 版，其他条件一致。</x:v>
      </x:c>
      <x:c r="I49" s="69" t="str">
        <x:v>Target1 Flag=T、Target2 Flag=F；CentralReticleWhereNext 优先选择 Target2。</x:v>
      </x:c>
      <x:c r="J49" s="71" t="str">
        <x:v>Not Run</x:v>
      </x:c>
      <x:c r="K49" s="72"/>
      <x:c r="L49" s="71" t="str"/>
      <x:c r="M49" s="69" t="str"/>
    </x:row>
    <x:row r="50" ht="58" customHeight="1">
      <x:c r="A50" s="70" t="str">
        <x:v>TC-RAB-046</x:v>
      </x:c>
      <x:c r="B50" s="70" t="str">
        <x:v>Central</x:v>
      </x:c>
      <x:c r="C50" s="70" t="str">
        <x:v>RTD/DSP · CentralWhereNext</x:v>
      </x:c>
      <x:c r="D50" s="70" t="str">
        <x:v>CentralReticleWhereNext</x:v>
      </x:c>
      <x:c r="E50" s="70" t="str">
        <x:v>R8｜CentralWhereNext 识别正搬入对版</x:v>
      </x:c>
      <x:c r="F50" s="70" t="str">
        <x:v>联动</x:v>
      </x:c>
      <x:c r="G50" s="69" t="str">
        <x:v>验证预约搬入信息参与 CentralReticleWhereNext</x:v>
      </x:c>
      <x:c r="H50" s="69" t="str">
        <x:v>Target1 无既有 B 版但有 B 版 reservedreticleid 正搬入；Target2 无冲突。</x:v>
      </x:c>
      <x:c r="I50" s="69" t="str">
        <x:v>CentralReticleWhereNext 将 Target1 标记 T，优先选择 Target2。</x:v>
      </x:c>
      <x:c r="J50" s="71" t="str">
        <x:v>Not Run</x:v>
      </x:c>
      <x:c r="K50" s="72"/>
      <x:c r="L50" s="71" t="str"/>
      <x:c r="M50" s="69" t="str"/>
    </x:row>
    <x:row r="51" ht="58" customHeight="1">
      <x:c r="A51" s="70" t="str">
        <x:v>TC-RAB-047</x:v>
      </x:c>
      <x:c r="B51" s="70" t="str">
        <x:v>Central</x:v>
      </x:c>
      <x:c r="C51" s="70" t="str">
        <x:v>RTD/DSP · 三功能联动</x:v>
      </x:c>
      <x:c r="D51" s="70" t="str">
        <x:v>Balance/WhereNext/CentralWhereNext</x:v>
      </x:c>
      <x:c r="E51" s="70" t="str">
        <x:v>R8｜三功能判定一致性</x:v>
      </x:c>
      <x:c r="F51" s="70" t="str">
        <x:v>联动</x:v>
      </x:c>
      <x:c r="G51" s="69" t="str">
        <x:v>验证相同输入在三项功能中的 Flag 与选仓一致</x:v>
      </x:c>
      <x:c r="H51" s="69" t="str">
        <x:v>固定同一传出 Reticle、Target 列表、既有/正搬入 Reticle 和原排序条件，依次执行三项功能。</x:v>
      </x:c>
      <x:c r="I51" s="69" t="str">
        <x:v>三项功能对每个 Target 的 ExistMaskA&amp;B 标记一致；在相同原排序条件下最终选择一致。</x:v>
      </x:c>
      <x:c r="J51" s="71" t="str">
        <x:v>Not Run</x:v>
      </x:c>
      <x:c r="K51" s="72"/>
      <x:c r="L51" s="71" t="str"/>
      <x:c r="M51" s="69" t="str"/>
    </x:row>
    <x:row r="52" ht="58" customHeight="1">
      <x:c r="A52" s="70" t="str">
        <x:v>TC-RAB-048</x:v>
      </x:c>
      <x:c r="B52" s="70" t="str">
        <x:v>Central</x:v>
      </x:c>
      <x:c r="C52" s="70" t="str">
        <x:v>RTD/DSP · 三功能回归</x:v>
      </x:c>
      <x:c r="D52" s="70" t="str">
        <x:v>Balance/WhereNext/CentralWhereNext</x:v>
      </x:c>
      <x:c r="E52" s="70" t="str">
        <x:v>R8｜非 AB 业务回归</x:v>
      </x:c>
      <x:c r="F52" s="70" t="str">
        <x:v>回归</x:v>
      </x:c>
      <x:c r="G52" s="69" t="str">
        <x:v>验证非14码和无对版场景不改变原业务</x:v>
      </x:c>
      <x:c r="H52" s="69" t="str">
        <x:v>使用 SpecialReticle、无对版普通 Reticle 及原有常规选仓数据，记录改造前结果并执行改造后版本。</x:v>
      </x:c>
      <x:c r="I52" s="69" t="str">
        <x:v>除新增 AB 避让场景外，触发条件、原排序、Target 结果及 TransportOut 行为与改造前一致。</x:v>
      </x:c>
      <x:c r="J52" s="71" t="str">
        <x:v>Not Run</x:v>
      </x:c>
      <x:c r="K52" s="72"/>
      <x:c r="L52" s="71" t="str"/>
      <x:c r="M52" s="69" t="str">
        <x:v>发布前回归</x:v>
      </x:c>
    </x:row>
  </x:sheetData>
  <x:mergeCells>
    <x:mergeCell ref="A1:M1"/>
    <x:mergeCell ref="A2:M2"/>
  </x:mergeCells>
  <x:conditionalFormatting sqref="J5:J52">
    <x:cfRule type="containsText" dxfId="2" priority="1" operator="containsText" text="Not Run"/>
    <x:cfRule type="containsText" dxfId="3" priority="2" operator="containsText" text="Pass"/>
    <x:cfRule type="containsText" dxfId="4" priority="3" operator="containsText" text="Fail"/>
    <x:cfRule type="containsText" dxfId="5" priority="4" operator="containsText" text="Blocked"/>
  </x:conditionalFormatting>
  <x:conditionalFormatting sqref="F5:F52">
    <x:cfRule type="containsText" dxfId="6" priority="5" operator="containsText" text="边界"/>
    <x:cfRule type="containsText" dxfId="7" priority="6" operator="containsText" text="联动"/>
  </x:conditionalFormatting>
  <x:conditionalFormatting sqref="M5:M52">
    <x:cfRule type="containsText" dxfId="8" priority="7" operator="containsText" text="待确认"/>
  </x:conditionalFormatting>
  <x:dataValidations count="1">
    <x:dataValidation type="list" sqref="J5:J5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b7c6cdbbff44ee"/>
  </x:tableParts>
</x:worksheet>
</file>